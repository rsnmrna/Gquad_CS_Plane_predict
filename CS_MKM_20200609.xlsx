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/>
  <mc:AlternateContent xmlns:mc="http://schemas.openxmlformats.org/markup-compatibility/2006">
    <mc:Choice Requires="x15">
      <x15ac:absPath xmlns:x15ac="http://schemas.microsoft.com/office/spreadsheetml/2010/11/ac" url="/Users/waj/Desktop/projects/Q_Topology/"/>
    </mc:Choice>
  </mc:AlternateContent>
  <bookViews>
    <workbookView xWindow="0" yWindow="460" windowWidth="28800" windowHeight="17540" tabRatio="729"/>
  </bookViews>
  <sheets>
    <sheet name="parallel 12to0" sheetId="6" r:id="rId1"/>
    <sheet name="hybrid 7to5" sheetId="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04" i="6" l="1"/>
  <c r="Q104" i="6"/>
  <c r="P104" i="6"/>
  <c r="N104" i="6"/>
  <c r="L104" i="6"/>
  <c r="L93" i="6"/>
  <c r="N93" i="6"/>
  <c r="P93" i="6"/>
  <c r="Q93" i="6"/>
  <c r="S93" i="6"/>
  <c r="L94" i="6"/>
  <c r="N94" i="6"/>
  <c r="P94" i="6"/>
  <c r="Q94" i="6"/>
  <c r="S94" i="6"/>
  <c r="L95" i="6"/>
  <c r="N95" i="6"/>
  <c r="P95" i="6"/>
  <c r="Q95" i="6"/>
  <c r="S95" i="6"/>
  <c r="L96" i="6"/>
  <c r="N96" i="6"/>
  <c r="P96" i="6"/>
  <c r="Q96" i="6"/>
  <c r="S96" i="6"/>
  <c r="L97" i="6"/>
  <c r="N97" i="6"/>
  <c r="P97" i="6"/>
  <c r="Q97" i="6"/>
  <c r="S97" i="6"/>
  <c r="L98" i="6"/>
  <c r="N98" i="6"/>
  <c r="P98" i="6"/>
  <c r="Q98" i="6"/>
  <c r="S98" i="6"/>
  <c r="L99" i="6"/>
  <c r="N99" i="6"/>
  <c r="P99" i="6"/>
  <c r="Q99" i="6"/>
  <c r="S99" i="6"/>
  <c r="L100" i="6"/>
  <c r="N100" i="6"/>
  <c r="P100" i="6"/>
  <c r="Q100" i="6"/>
  <c r="S100" i="6"/>
  <c r="L101" i="6"/>
  <c r="N101" i="6"/>
  <c r="P101" i="6"/>
  <c r="Q101" i="6"/>
  <c r="S101" i="6"/>
  <c r="L102" i="6"/>
  <c r="N102" i="6"/>
  <c r="P102" i="6"/>
  <c r="Q102" i="6"/>
  <c r="S102" i="6"/>
  <c r="L103" i="6"/>
  <c r="N103" i="6"/>
  <c r="P103" i="6"/>
  <c r="Q103" i="6"/>
  <c r="S103" i="6"/>
  <c r="T93" i="6"/>
  <c r="T94" i="6"/>
  <c r="T95" i="6"/>
  <c r="T96" i="6"/>
  <c r="T97" i="6"/>
  <c r="T98" i="6"/>
  <c r="T99" i="6"/>
  <c r="T100" i="6"/>
  <c r="T101" i="6"/>
  <c r="T102" i="6"/>
  <c r="T103" i="6"/>
  <c r="T210" i="6"/>
  <c r="T211" i="6"/>
  <c r="T212" i="6"/>
  <c r="T213" i="6"/>
  <c r="T214" i="6"/>
  <c r="T215" i="6"/>
  <c r="T216" i="6"/>
  <c r="T217" i="6"/>
  <c r="T218" i="6"/>
  <c r="T219" i="6"/>
  <c r="T220" i="6"/>
  <c r="T184" i="6"/>
  <c r="T185" i="6"/>
  <c r="T186" i="6"/>
  <c r="T187" i="6"/>
  <c r="T188" i="6"/>
  <c r="T189" i="6"/>
  <c r="T190" i="6"/>
  <c r="T191" i="6"/>
  <c r="T192" i="6"/>
  <c r="T193" i="6"/>
  <c r="T194" i="6"/>
  <c r="T80" i="6"/>
  <c r="T81" i="6"/>
  <c r="T82" i="6"/>
  <c r="T83" i="6"/>
  <c r="T84" i="6"/>
  <c r="T85" i="6"/>
  <c r="T86" i="6"/>
  <c r="T87" i="6"/>
  <c r="T88" i="6"/>
  <c r="T89" i="6"/>
  <c r="T90" i="6"/>
  <c r="T197" i="6"/>
  <c r="T198" i="6"/>
  <c r="T199" i="6"/>
  <c r="T200" i="6"/>
  <c r="T201" i="6"/>
  <c r="T202" i="6"/>
  <c r="T203" i="6"/>
  <c r="T204" i="6"/>
  <c r="T205" i="6"/>
  <c r="T206" i="6"/>
  <c r="T207" i="6"/>
  <c r="T171" i="6"/>
  <c r="T172" i="6"/>
  <c r="T173" i="6"/>
  <c r="T174" i="6"/>
  <c r="T175" i="6"/>
  <c r="T176" i="6"/>
  <c r="T177" i="6"/>
  <c r="T178" i="6"/>
  <c r="T179" i="6"/>
  <c r="T180" i="6"/>
  <c r="T181" i="6"/>
  <c r="T158" i="6"/>
  <c r="T159" i="6"/>
  <c r="T160" i="6"/>
  <c r="T161" i="6"/>
  <c r="T162" i="6"/>
  <c r="T163" i="6"/>
  <c r="T164" i="6"/>
  <c r="T165" i="6"/>
  <c r="T166" i="6"/>
  <c r="T167" i="6"/>
  <c r="T168" i="6"/>
  <c r="T145" i="6"/>
  <c r="T146" i="6"/>
  <c r="T147" i="6"/>
  <c r="T148" i="6"/>
  <c r="T149" i="6"/>
  <c r="T150" i="6"/>
  <c r="T151" i="6"/>
  <c r="T152" i="6"/>
  <c r="T153" i="6"/>
  <c r="T154" i="6"/>
  <c r="T155" i="6"/>
  <c r="T132" i="6"/>
  <c r="T133" i="6"/>
  <c r="T134" i="6"/>
  <c r="T135" i="6"/>
  <c r="T136" i="6"/>
  <c r="T137" i="6"/>
  <c r="T138" i="6"/>
  <c r="T139" i="6"/>
  <c r="T140" i="6"/>
  <c r="T141" i="6"/>
  <c r="T142" i="6"/>
  <c r="T119" i="6"/>
  <c r="T120" i="6"/>
  <c r="T121" i="6"/>
  <c r="T122" i="6"/>
  <c r="T123" i="6"/>
  <c r="T124" i="6"/>
  <c r="T125" i="6"/>
  <c r="T126" i="6"/>
  <c r="T127" i="6"/>
  <c r="T128" i="6"/>
  <c r="T129" i="6"/>
  <c r="T106" i="6"/>
  <c r="T107" i="6"/>
  <c r="T108" i="6"/>
  <c r="T109" i="6"/>
  <c r="T110" i="6"/>
  <c r="T111" i="6"/>
  <c r="T112" i="6"/>
  <c r="T113" i="6"/>
  <c r="T114" i="6"/>
  <c r="T115" i="6"/>
  <c r="T116" i="6"/>
  <c r="T67" i="6"/>
  <c r="T68" i="6"/>
  <c r="T69" i="6"/>
  <c r="T70" i="6"/>
  <c r="T71" i="6"/>
  <c r="T72" i="6"/>
  <c r="T73" i="6"/>
  <c r="T74" i="6"/>
  <c r="T75" i="6"/>
  <c r="T76" i="6"/>
  <c r="T77" i="6"/>
  <c r="T54" i="6"/>
  <c r="T55" i="6"/>
  <c r="T56" i="6"/>
  <c r="T57" i="6"/>
  <c r="T58" i="6"/>
  <c r="T59" i="6"/>
  <c r="T60" i="6"/>
  <c r="T61" i="6"/>
  <c r="T62" i="6"/>
  <c r="T63" i="6"/>
  <c r="T64" i="6"/>
  <c r="T41" i="6"/>
  <c r="T42" i="6"/>
  <c r="T43" i="6"/>
  <c r="T44" i="6"/>
  <c r="T45" i="6"/>
  <c r="T46" i="6"/>
  <c r="T47" i="6"/>
  <c r="T48" i="6"/>
  <c r="T49" i="6"/>
  <c r="T50" i="6"/>
  <c r="T51" i="6"/>
  <c r="T28" i="6"/>
  <c r="T29" i="6"/>
  <c r="T30" i="6"/>
  <c r="T31" i="6"/>
  <c r="T32" i="6"/>
  <c r="T33" i="6"/>
  <c r="T34" i="6"/>
  <c r="T35" i="6"/>
  <c r="T36" i="6"/>
  <c r="T37" i="6"/>
  <c r="T38" i="6"/>
  <c r="T15" i="6"/>
  <c r="T16" i="6"/>
  <c r="T17" i="6"/>
  <c r="T18" i="6"/>
  <c r="T19" i="6"/>
  <c r="T20" i="6"/>
  <c r="T21" i="6"/>
  <c r="T22" i="6"/>
  <c r="T23" i="6"/>
  <c r="T24" i="6"/>
  <c r="T25" i="6"/>
  <c r="T2" i="6"/>
  <c r="T3" i="6"/>
  <c r="T4" i="6"/>
  <c r="T5" i="6"/>
  <c r="T6" i="6"/>
  <c r="T7" i="6"/>
  <c r="T8" i="6"/>
  <c r="T9" i="6"/>
  <c r="T10" i="6"/>
  <c r="T11" i="6"/>
  <c r="T12" i="6"/>
</calcChain>
</file>

<file path=xl/sharedStrings.xml><?xml version="1.0" encoding="utf-8"?>
<sst xmlns="http://schemas.openxmlformats.org/spreadsheetml/2006/main" count="4310" uniqueCount="169">
  <si>
    <t>PDB_ID</t>
  </si>
  <si>
    <t>SEQUENCE</t>
  </si>
  <si>
    <t>TOPOLOGY</t>
  </si>
  <si>
    <t>LOOP</t>
  </si>
  <si>
    <t>PLANE</t>
  </si>
  <si>
    <t>CONFORMATION</t>
  </si>
  <si>
    <t>MODIFIED</t>
  </si>
  <si>
    <t>POSITION</t>
  </si>
  <si>
    <t>C8</t>
  </si>
  <si>
    <t>H8</t>
  </si>
  <si>
    <t>C1p</t>
  </si>
  <si>
    <t>H1p</t>
  </si>
  <si>
    <t>C2p</t>
  </si>
  <si>
    <t>H2p</t>
  </si>
  <si>
    <t>H2pp</t>
  </si>
  <si>
    <t>N1</t>
  </si>
  <si>
    <t>H1</t>
  </si>
  <si>
    <t>GGGCGCGGGAGGAATTGGGCGGG</t>
  </si>
  <si>
    <t>(3+1)</t>
  </si>
  <si>
    <t>UDUU</t>
  </si>
  <si>
    <t>3(-Lw-Ln-P)</t>
  </si>
  <si>
    <t>S</t>
  </si>
  <si>
    <t>A</t>
  </si>
  <si>
    <t>DG2</t>
  </si>
  <si>
    <t>DG3</t>
  </si>
  <si>
    <t>DG7</t>
  </si>
  <si>
    <t>DG8</t>
  </si>
  <si>
    <t>DG9</t>
  </si>
  <si>
    <t>DG17</t>
  </si>
  <si>
    <t>DG18</t>
  </si>
  <si>
    <t>DG19</t>
  </si>
  <si>
    <t>DG21</t>
  </si>
  <si>
    <t>DG22</t>
  </si>
  <si>
    <t>DG23</t>
  </si>
  <si>
    <t>TGAGGGTGGGTAGGGTGGGTAA</t>
  </si>
  <si>
    <t>(4+0)</t>
  </si>
  <si>
    <t>UUUU</t>
  </si>
  <si>
    <t>3(-P-P-P)</t>
  </si>
  <si>
    <t>DG11</t>
  </si>
  <si>
    <t>DG12</t>
  </si>
  <si>
    <t>DG13</t>
  </si>
  <si>
    <t>DG16</t>
  </si>
  <si>
    <t>DG20</t>
  </si>
  <si>
    <t>2lby</t>
  </si>
  <si>
    <t>TAGGGAGGGTAGGGAGGGT</t>
  </si>
  <si>
    <t>DG4</t>
  </si>
  <si>
    <t>DG5</t>
  </si>
  <si>
    <t>DG14</t>
  </si>
  <si>
    <t>2ld8</t>
  </si>
  <si>
    <t>TAGGGTTAGGGTTAGGGTTAGGG</t>
  </si>
  <si>
    <t>DG10</t>
  </si>
  <si>
    <t>DG15</t>
  </si>
  <si>
    <t>2lee</t>
  </si>
  <si>
    <t>TAGGGCGGGAGGGAGGGAA</t>
  </si>
  <si>
    <t>2lk7</t>
  </si>
  <si>
    <t>TTGGGTGGGTGGGTGGGT</t>
  </si>
  <si>
    <t>GGGATGGGACACAGGGGACGGG</t>
  </si>
  <si>
    <t>UUUD</t>
  </si>
  <si>
    <t>3(-PD+Lw)</t>
  </si>
  <si>
    <t>DG6</t>
  </si>
  <si>
    <t>2lpw</t>
  </si>
  <si>
    <t>AAGGGTGGGTGTAAGTGTGGGTGGGT</t>
  </si>
  <si>
    <t>DG24</t>
  </si>
  <si>
    <t>DG25</t>
  </si>
  <si>
    <t>2lxq</t>
  </si>
  <si>
    <t>TAGGGTGGGTTGGGTGGGGAAT</t>
  </si>
  <si>
    <t>2m4p</t>
  </si>
  <si>
    <t>TTGTGGTGGGTGGGTGGGT</t>
  </si>
  <si>
    <t>2m27</t>
  </si>
  <si>
    <t>CGGGGCGGGCCTTGGGCGGGGT</t>
  </si>
  <si>
    <t>UUDU</t>
  </si>
  <si>
    <t>3(-P-Lw-Ln)</t>
  </si>
  <si>
    <t>2mb2</t>
  </si>
  <si>
    <t>TTGGGGGGGGGGGGGGGT</t>
  </si>
  <si>
    <t>2mb3</t>
  </si>
  <si>
    <t>TTGGGTTAGGGTTAGGGTTAGGGA</t>
  </si>
  <si>
    <t>2n4y</t>
  </si>
  <si>
    <t>CTGGGCGGGACTGGGGAGTGGT</t>
  </si>
  <si>
    <t>AGGGCGGTGTGGGAATAGGGAA</t>
  </si>
  <si>
    <t>5mta</t>
  </si>
  <si>
    <t>CAGGGTTAAGGGTATAACTTTAGGGGTTAGGGTT</t>
  </si>
  <si>
    <t>DG30</t>
  </si>
  <si>
    <t>DG31</t>
  </si>
  <si>
    <t>DG32</t>
  </si>
  <si>
    <t>TTAGGGTTAGGGTTAGGGTTAGGGTT</t>
  </si>
  <si>
    <t>5nys</t>
  </si>
  <si>
    <t>TAGGGACGGGCGGGCAGGGT</t>
  </si>
  <si>
    <t>AAAGGGTTAGGGTTAGGGTTAGGGAA</t>
  </si>
  <si>
    <t>G1</t>
  </si>
  <si>
    <t>G20</t>
  </si>
  <si>
    <t>DG26</t>
  </si>
  <si>
    <t>DG27</t>
  </si>
  <si>
    <t>DG28</t>
  </si>
  <si>
    <t>6neb</t>
  </si>
  <si>
    <t>TTGGGGAGGGTTTTAAGGGTGGGGAAT</t>
  </si>
  <si>
    <t>6t2g</t>
  </si>
  <si>
    <t xml:space="preserve">  GGGATGGGAAGGGCGGTGTGGGAAGAGGGAAGATGGGGAGGCACAGXGGACGGG</t>
  </si>
  <si>
    <t>G3</t>
  </si>
  <si>
    <t>G4</t>
  </si>
  <si>
    <t>G5</t>
  </si>
  <si>
    <t>G7</t>
  </si>
  <si>
    <t>G8</t>
  </si>
  <si>
    <t>G9</t>
  </si>
  <si>
    <t>G11</t>
  </si>
  <si>
    <t>G12</t>
  </si>
  <si>
    <t>G13</t>
  </si>
  <si>
    <t>G15</t>
  </si>
  <si>
    <t>G16</t>
  </si>
  <si>
    <t>G17</t>
  </si>
  <si>
    <t>AGGG_Q</t>
  </si>
  <si>
    <t>AAGGGAGGGAGGGAGGGAA</t>
  </si>
  <si>
    <t>G10</t>
  </si>
  <si>
    <t>G14</t>
  </si>
  <si>
    <t>G18</t>
  </si>
  <si>
    <t>G19</t>
  </si>
  <si>
    <t>1XAV</t>
  </si>
  <si>
    <t>G6</t>
  </si>
  <si>
    <t>2F8U</t>
  </si>
  <si>
    <t>G2</t>
  </si>
  <si>
    <t>G21</t>
  </si>
  <si>
    <t>G22</t>
  </si>
  <si>
    <t>G23</t>
  </si>
  <si>
    <t>2GKU</t>
  </si>
  <si>
    <t>2JPZ</t>
  </si>
  <si>
    <t>G24</t>
  </si>
  <si>
    <t>2JSL</t>
  </si>
  <si>
    <t>TAGGGTTAGGGTTAGGGTTAGGGTT</t>
  </si>
  <si>
    <t>2JSM</t>
  </si>
  <si>
    <t>2LOD</t>
  </si>
  <si>
    <t>6AC7</t>
  </si>
  <si>
    <t>TGGGGTCCGAGGCGGGGCTTGGG</t>
  </si>
  <si>
    <t>186D</t>
  </si>
  <si>
    <t>TTGGGGTTGGGGTTGGGGTTGGGG</t>
  </si>
  <si>
    <t>CGGGCGGGCGCTAGGGAGGGT</t>
  </si>
  <si>
    <t>AGGGTGGGTGCTGGGGCGCGAAGCATTCGCGAGG</t>
  </si>
  <si>
    <t>TTGGGTGGGCGCGAAGCATTCGCGGGGTGGGT</t>
  </si>
  <si>
    <t>2(-PX+P)</t>
  </si>
  <si>
    <t>NaN</t>
  </si>
  <si>
    <t>STRAND ORIENTATION</t>
  </si>
  <si>
    <t>DG03</t>
  </si>
  <si>
    <t>DG04</t>
  </si>
  <si>
    <t>DG05</t>
  </si>
  <si>
    <t>DG07</t>
  </si>
  <si>
    <t>DG08</t>
  </si>
  <si>
    <t>DG09</t>
  </si>
  <si>
    <t>S.No.</t>
  </si>
  <si>
    <t>Stat</t>
  </si>
  <si>
    <t>2hy9</t>
  </si>
  <si>
    <t>2kyp</t>
  </si>
  <si>
    <t>2m93</t>
  </si>
  <si>
    <t>2m92</t>
  </si>
  <si>
    <t>DG29</t>
  </si>
  <si>
    <t>DG33</t>
  </si>
  <si>
    <t>DG34</t>
  </si>
  <si>
    <t>Step-3</t>
  </si>
  <si>
    <t>Step-2_5p</t>
  </si>
  <si>
    <t>Step-2_3p</t>
  </si>
  <si>
    <t>5p-s-a</t>
  </si>
  <si>
    <t>s-a-a</t>
  </si>
  <si>
    <t>5p-s-s</t>
  </si>
  <si>
    <t>s-s-a</t>
  </si>
  <si>
    <t>s-a-3p</t>
  </si>
  <si>
    <t>a-a-3p</t>
  </si>
  <si>
    <t>5p-s</t>
  </si>
  <si>
    <t>s-a</t>
  </si>
  <si>
    <t>a-a</t>
  </si>
  <si>
    <t>s-s</t>
  </si>
  <si>
    <t>a-3p</t>
  </si>
  <si>
    <t>5i2v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</si>
</sst>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3300"/>
      </patternFill>
    </fill>
    <fill>
      <patternFill patternType="solid">
        <fgColor rgb="FFFF66FF"/>
        <bgColor rgb="FFFF8080"/>
      </patternFill>
    </fill>
    <fill>
      <patternFill patternType="solid">
        <fgColor rgb="FF548235"/>
        <bgColor rgb="FF339966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FF3300"/>
        <bgColor rgb="FFFF0000"/>
      </patternFill>
    </fill>
    <fill>
      <patternFill patternType="solid">
        <fgColor rgb="FF70AD47"/>
        <bgColor rgb="FF54823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734">
    <xf numFmtId="0" fontId="0" fillId="0" borderId="0"/>
    <xf numFmtId="0" fontId="8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64">
    <xf numFmtId="0" fontId="0" fillId="0" borderId="0" xfId="0"/>
    <xf numFmtId="2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3" fillId="9" borderId="2" xfId="0" applyFont="1" applyFill="1" applyBorder="1" applyAlignment="1">
      <alignment horizontal="center" vertical="top" wrapText="1"/>
    </xf>
    <xf numFmtId="164" fontId="13" fillId="9" borderId="2" xfId="0" applyNumberFormat="1" applyFont="1" applyFill="1" applyBorder="1" applyAlignment="1">
      <alignment horizontal="center" vertical="top" wrapText="1"/>
    </xf>
    <xf numFmtId="2" fontId="13" fillId="9" borderId="2" xfId="0" applyNumberFormat="1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 wrapText="1"/>
    </xf>
    <xf numFmtId="164" fontId="7" fillId="0" borderId="1" xfId="0" applyNumberFormat="1" applyFont="1" applyFill="1" applyBorder="1" applyAlignment="1">
      <alignment horizontal="center" vertical="top" wrapText="1"/>
    </xf>
    <xf numFmtId="2" fontId="7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164" fontId="13" fillId="9" borderId="2" xfId="0" applyNumberFormat="1" applyFont="1" applyFill="1" applyBorder="1" applyAlignment="1">
      <alignment horizontal="center" vertical="center" wrapText="1"/>
    </xf>
    <xf numFmtId="2" fontId="13" fillId="9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" fontId="7" fillId="0" borderId="2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64" fontId="7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164" fontId="7" fillId="0" borderId="2" xfId="0" applyNumberFormat="1" applyFont="1" applyFill="1" applyBorder="1" applyAlignment="1">
      <alignment horizontal="center" vertical="top" wrapText="1"/>
    </xf>
    <xf numFmtId="2" fontId="7" fillId="0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</cellXfs>
  <cellStyles count="6734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Followed Hyperlink" xfId="2507" builtinId="9" hidden="1"/>
    <cellStyle name="Followed Hyperlink" xfId="2509" builtinId="9" hidden="1"/>
    <cellStyle name="Followed Hyperlink" xfId="2511" builtinId="9" hidden="1"/>
    <cellStyle name="Followed Hyperlink" xfId="2513" builtinId="9" hidden="1"/>
    <cellStyle name="Followed Hyperlink" xfId="2515" builtinId="9" hidden="1"/>
    <cellStyle name="Followed Hyperlink" xfId="2517" builtinId="9" hidden="1"/>
    <cellStyle name="Followed Hyperlink" xfId="2519" builtinId="9" hidden="1"/>
    <cellStyle name="Followed Hyperlink" xfId="2521" builtinId="9" hidden="1"/>
    <cellStyle name="Followed Hyperlink" xfId="2523" builtinId="9" hidden="1"/>
    <cellStyle name="Followed Hyperlink" xfId="2525" builtinId="9" hidden="1"/>
    <cellStyle name="Followed Hyperlink" xfId="2527" builtinId="9" hidden="1"/>
    <cellStyle name="Followed Hyperlink" xfId="2529" builtinId="9" hidden="1"/>
    <cellStyle name="Followed Hyperlink" xfId="2531" builtinId="9" hidden="1"/>
    <cellStyle name="Followed Hyperlink" xfId="2533" builtinId="9" hidden="1"/>
    <cellStyle name="Followed Hyperlink" xfId="2535" builtinId="9" hidden="1"/>
    <cellStyle name="Followed Hyperlink" xfId="2537" builtinId="9" hidden="1"/>
    <cellStyle name="Followed Hyperlink" xfId="2539" builtinId="9" hidden="1"/>
    <cellStyle name="Followed Hyperlink" xfId="2541" builtinId="9" hidden="1"/>
    <cellStyle name="Followed Hyperlink" xfId="2543" builtinId="9" hidden="1"/>
    <cellStyle name="Followed Hyperlink" xfId="2545" builtinId="9" hidden="1"/>
    <cellStyle name="Followed Hyperlink" xfId="2547" builtinId="9" hidden="1"/>
    <cellStyle name="Followed Hyperlink" xfId="2549" builtinId="9" hidden="1"/>
    <cellStyle name="Followed Hyperlink" xfId="2551" builtinId="9" hidden="1"/>
    <cellStyle name="Followed Hyperlink" xfId="2553" builtinId="9" hidden="1"/>
    <cellStyle name="Followed Hyperlink" xfId="2555" builtinId="9" hidden="1"/>
    <cellStyle name="Followed Hyperlink" xfId="2557" builtinId="9" hidden="1"/>
    <cellStyle name="Followed Hyperlink" xfId="2559" builtinId="9" hidden="1"/>
    <cellStyle name="Followed Hyperlink" xfId="2561" builtinId="9" hidden="1"/>
    <cellStyle name="Followed Hyperlink" xfId="2563" builtinId="9" hidden="1"/>
    <cellStyle name="Followed Hyperlink" xfId="2565" builtinId="9" hidden="1"/>
    <cellStyle name="Followed Hyperlink" xfId="2567" builtinId="9" hidden="1"/>
    <cellStyle name="Followed Hyperlink" xfId="2569" builtinId="9" hidden="1"/>
    <cellStyle name="Followed Hyperlink" xfId="2571" builtinId="9" hidden="1"/>
    <cellStyle name="Followed Hyperlink" xfId="2573" builtinId="9" hidden="1"/>
    <cellStyle name="Followed Hyperlink" xfId="2575" builtinId="9" hidden="1"/>
    <cellStyle name="Followed Hyperlink" xfId="2577" builtinId="9" hidden="1"/>
    <cellStyle name="Followed Hyperlink" xfId="2579" builtinId="9" hidden="1"/>
    <cellStyle name="Followed Hyperlink" xfId="2581" builtinId="9" hidden="1"/>
    <cellStyle name="Followed Hyperlink" xfId="2583" builtinId="9" hidden="1"/>
    <cellStyle name="Followed Hyperlink" xfId="2585" builtinId="9" hidden="1"/>
    <cellStyle name="Followed Hyperlink" xfId="2587" builtinId="9" hidden="1"/>
    <cellStyle name="Followed Hyperlink" xfId="2589" builtinId="9" hidden="1"/>
    <cellStyle name="Followed Hyperlink" xfId="2591" builtinId="9" hidden="1"/>
    <cellStyle name="Followed Hyperlink" xfId="2593" builtinId="9" hidden="1"/>
    <cellStyle name="Followed Hyperlink" xfId="2595" builtinId="9" hidden="1"/>
    <cellStyle name="Followed Hyperlink" xfId="2597" builtinId="9" hidden="1"/>
    <cellStyle name="Followed Hyperlink" xfId="2599" builtinId="9" hidden="1"/>
    <cellStyle name="Followed Hyperlink" xfId="2601" builtinId="9" hidden="1"/>
    <cellStyle name="Followed Hyperlink" xfId="2603" builtinId="9" hidden="1"/>
    <cellStyle name="Followed Hyperlink" xfId="2605" builtinId="9" hidden="1"/>
    <cellStyle name="Followed Hyperlink" xfId="2607" builtinId="9" hidden="1"/>
    <cellStyle name="Followed Hyperlink" xfId="2609" builtinId="9" hidden="1"/>
    <cellStyle name="Followed Hyperlink" xfId="2611" builtinId="9" hidden="1"/>
    <cellStyle name="Followed Hyperlink" xfId="2613" builtinId="9" hidden="1"/>
    <cellStyle name="Followed Hyperlink" xfId="2615" builtinId="9" hidden="1"/>
    <cellStyle name="Followed Hyperlink" xfId="2617" builtinId="9" hidden="1"/>
    <cellStyle name="Followed Hyperlink" xfId="2619" builtinId="9" hidden="1"/>
    <cellStyle name="Followed Hyperlink" xfId="2621" builtinId="9" hidden="1"/>
    <cellStyle name="Followed Hyperlink" xfId="2623" builtinId="9" hidden="1"/>
    <cellStyle name="Followed Hyperlink" xfId="2625" builtinId="9" hidden="1"/>
    <cellStyle name="Followed Hyperlink" xfId="2627" builtinId="9" hidden="1"/>
    <cellStyle name="Followed Hyperlink" xfId="2629" builtinId="9" hidden="1"/>
    <cellStyle name="Followed Hyperlink" xfId="2631" builtinId="9" hidden="1"/>
    <cellStyle name="Followed Hyperlink" xfId="2633" builtinId="9" hidden="1"/>
    <cellStyle name="Followed Hyperlink" xfId="2635" builtinId="9" hidden="1"/>
    <cellStyle name="Followed Hyperlink" xfId="2637" builtinId="9" hidden="1"/>
    <cellStyle name="Followed Hyperlink" xfId="2639" builtinId="9" hidden="1"/>
    <cellStyle name="Followed Hyperlink" xfId="2641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699" builtinId="9" hidden="1"/>
    <cellStyle name="Followed Hyperlink" xfId="2701" builtinId="9" hidden="1"/>
    <cellStyle name="Followed Hyperlink" xfId="2703" builtinId="9" hidden="1"/>
    <cellStyle name="Followed Hyperlink" xfId="2705" builtinId="9" hidden="1"/>
    <cellStyle name="Followed Hyperlink" xfId="2707" builtinId="9" hidden="1"/>
    <cellStyle name="Followed Hyperlink" xfId="2709" builtinId="9" hidden="1"/>
    <cellStyle name="Followed Hyperlink" xfId="2711" builtinId="9" hidden="1"/>
    <cellStyle name="Followed Hyperlink" xfId="2713" builtinId="9" hidden="1"/>
    <cellStyle name="Followed Hyperlink" xfId="2715" builtinId="9" hidden="1"/>
    <cellStyle name="Followed Hyperlink" xfId="2717" builtinId="9" hidden="1"/>
    <cellStyle name="Followed Hyperlink" xfId="2719" builtinId="9" hidden="1"/>
    <cellStyle name="Followed Hyperlink" xfId="2721" builtinId="9" hidden="1"/>
    <cellStyle name="Followed Hyperlink" xfId="2723" builtinId="9" hidden="1"/>
    <cellStyle name="Followed Hyperlink" xfId="2725" builtinId="9" hidden="1"/>
    <cellStyle name="Followed Hyperlink" xfId="2727" builtinId="9" hidden="1"/>
    <cellStyle name="Followed Hyperlink" xfId="2729" builtinId="9" hidden="1"/>
    <cellStyle name="Followed Hyperlink" xfId="2731" builtinId="9" hidden="1"/>
    <cellStyle name="Followed Hyperlink" xfId="2733" builtinId="9" hidden="1"/>
    <cellStyle name="Followed Hyperlink" xfId="2735" builtinId="9" hidden="1"/>
    <cellStyle name="Followed Hyperlink" xfId="2737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771" builtinId="9" hidden="1"/>
    <cellStyle name="Followed Hyperlink" xfId="2773" builtinId="9" hidden="1"/>
    <cellStyle name="Followed Hyperlink" xfId="2775" builtinId="9" hidden="1"/>
    <cellStyle name="Followed Hyperlink" xfId="2777" builtinId="9" hidden="1"/>
    <cellStyle name="Followed Hyperlink" xfId="2779" builtinId="9" hidden="1"/>
    <cellStyle name="Followed Hyperlink" xfId="2781" builtinId="9" hidden="1"/>
    <cellStyle name="Followed Hyperlink" xfId="2783" builtinId="9" hidden="1"/>
    <cellStyle name="Followed Hyperlink" xfId="2785" builtinId="9" hidden="1"/>
    <cellStyle name="Followed Hyperlink" xfId="2787" builtinId="9" hidden="1"/>
    <cellStyle name="Followed Hyperlink" xfId="2789" builtinId="9" hidden="1"/>
    <cellStyle name="Followed Hyperlink" xfId="2791" builtinId="9" hidden="1"/>
    <cellStyle name="Followed Hyperlink" xfId="2793" builtinId="9" hidden="1"/>
    <cellStyle name="Followed Hyperlink" xfId="2795" builtinId="9" hidden="1"/>
    <cellStyle name="Followed Hyperlink" xfId="2797" builtinId="9" hidden="1"/>
    <cellStyle name="Followed Hyperlink" xfId="2799" builtinId="9" hidden="1"/>
    <cellStyle name="Followed Hyperlink" xfId="2801" builtinId="9" hidden="1"/>
    <cellStyle name="Followed Hyperlink" xfId="2803" builtinId="9" hidden="1"/>
    <cellStyle name="Followed Hyperlink" xfId="2805" builtinId="9" hidden="1"/>
    <cellStyle name="Followed Hyperlink" xfId="2807" builtinId="9" hidden="1"/>
    <cellStyle name="Followed Hyperlink" xfId="2809" builtinId="9" hidden="1"/>
    <cellStyle name="Followed Hyperlink" xfId="2811" builtinId="9" hidden="1"/>
    <cellStyle name="Followed Hyperlink" xfId="2813" builtinId="9" hidden="1"/>
    <cellStyle name="Followed Hyperlink" xfId="2815" builtinId="9" hidden="1"/>
    <cellStyle name="Followed Hyperlink" xfId="2817" builtinId="9" hidden="1"/>
    <cellStyle name="Followed Hyperlink" xfId="2819" builtinId="9" hidden="1"/>
    <cellStyle name="Followed Hyperlink" xfId="2821" builtinId="9" hidden="1"/>
    <cellStyle name="Followed Hyperlink" xfId="2823" builtinId="9" hidden="1"/>
    <cellStyle name="Followed Hyperlink" xfId="2825" builtinId="9" hidden="1"/>
    <cellStyle name="Followed Hyperlink" xfId="2827" builtinId="9" hidden="1"/>
    <cellStyle name="Followed Hyperlink" xfId="2829" builtinId="9" hidden="1"/>
    <cellStyle name="Followed Hyperlink" xfId="2831" builtinId="9" hidden="1"/>
    <cellStyle name="Followed Hyperlink" xfId="2833" builtinId="9" hidden="1"/>
    <cellStyle name="Followed Hyperlink" xfId="2835" builtinId="9" hidden="1"/>
    <cellStyle name="Followed Hyperlink" xfId="2837" builtinId="9" hidden="1"/>
    <cellStyle name="Followed Hyperlink" xfId="2839" builtinId="9" hidden="1"/>
    <cellStyle name="Followed Hyperlink" xfId="2841" builtinId="9" hidden="1"/>
    <cellStyle name="Followed Hyperlink" xfId="2843" builtinId="9" hidden="1"/>
    <cellStyle name="Followed Hyperlink" xfId="2845" builtinId="9" hidden="1"/>
    <cellStyle name="Followed Hyperlink" xfId="2847" builtinId="9" hidden="1"/>
    <cellStyle name="Followed Hyperlink" xfId="2849" builtinId="9" hidden="1"/>
    <cellStyle name="Followed Hyperlink" xfId="2851" builtinId="9" hidden="1"/>
    <cellStyle name="Followed Hyperlink" xfId="2853" builtinId="9" hidden="1"/>
    <cellStyle name="Followed Hyperlink" xfId="2855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7" builtinId="9" hidden="1"/>
    <cellStyle name="Followed Hyperlink" xfId="2889" builtinId="9" hidden="1"/>
    <cellStyle name="Followed Hyperlink" xfId="2891" builtinId="9" hidden="1"/>
    <cellStyle name="Followed Hyperlink" xfId="2893" builtinId="9" hidden="1"/>
    <cellStyle name="Followed Hyperlink" xfId="2895" builtinId="9" hidden="1"/>
    <cellStyle name="Followed Hyperlink" xfId="2897" builtinId="9" hidden="1"/>
    <cellStyle name="Followed Hyperlink" xfId="2899" builtinId="9" hidden="1"/>
    <cellStyle name="Followed Hyperlink" xfId="2901" builtinId="9" hidden="1"/>
    <cellStyle name="Followed Hyperlink" xfId="2903" builtinId="9" hidden="1"/>
    <cellStyle name="Followed Hyperlink" xfId="2905" builtinId="9" hidden="1"/>
    <cellStyle name="Followed Hyperlink" xfId="2907" builtinId="9" hidden="1"/>
    <cellStyle name="Followed Hyperlink" xfId="2909" builtinId="9" hidden="1"/>
    <cellStyle name="Followed Hyperlink" xfId="2911" builtinId="9" hidden="1"/>
    <cellStyle name="Followed Hyperlink" xfId="2913" builtinId="9" hidden="1"/>
    <cellStyle name="Followed Hyperlink" xfId="2915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7" builtinId="9" hidden="1"/>
    <cellStyle name="Followed Hyperlink" xfId="2949" builtinId="9" hidden="1"/>
    <cellStyle name="Followed Hyperlink" xfId="2951" builtinId="9" hidden="1"/>
    <cellStyle name="Followed Hyperlink" xfId="2953" builtinId="9" hidden="1"/>
    <cellStyle name="Followed Hyperlink" xfId="2955" builtinId="9" hidden="1"/>
    <cellStyle name="Followed Hyperlink" xfId="2957" builtinId="9" hidden="1"/>
    <cellStyle name="Followed Hyperlink" xfId="2959" builtinId="9" hidden="1"/>
    <cellStyle name="Followed Hyperlink" xfId="2961" builtinId="9" hidden="1"/>
    <cellStyle name="Followed Hyperlink" xfId="2963" builtinId="9" hidden="1"/>
    <cellStyle name="Followed Hyperlink" xfId="2965" builtinId="9" hidden="1"/>
    <cellStyle name="Followed Hyperlink" xfId="2967" builtinId="9" hidden="1"/>
    <cellStyle name="Followed Hyperlink" xfId="2969" builtinId="9" hidden="1"/>
    <cellStyle name="Followed Hyperlink" xfId="2971" builtinId="9" hidden="1"/>
    <cellStyle name="Followed Hyperlink" xfId="2973" builtinId="9" hidden="1"/>
    <cellStyle name="Followed Hyperlink" xfId="2975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7" builtinId="9" hidden="1"/>
    <cellStyle name="Followed Hyperlink" xfId="3009" builtinId="9" hidden="1"/>
    <cellStyle name="Followed Hyperlink" xfId="3011" builtinId="9" hidden="1"/>
    <cellStyle name="Followed Hyperlink" xfId="3013" builtinId="9" hidden="1"/>
    <cellStyle name="Followed Hyperlink" xfId="3015" builtinId="9" hidden="1"/>
    <cellStyle name="Followed Hyperlink" xfId="3017" builtinId="9" hidden="1"/>
    <cellStyle name="Followed Hyperlink" xfId="3019" builtinId="9" hidden="1"/>
    <cellStyle name="Followed Hyperlink" xfId="3021" builtinId="9" hidden="1"/>
    <cellStyle name="Followed Hyperlink" xfId="3023" builtinId="9" hidden="1"/>
    <cellStyle name="Followed Hyperlink" xfId="3025" builtinId="9" hidden="1"/>
    <cellStyle name="Followed Hyperlink" xfId="3027" builtinId="9" hidden="1"/>
    <cellStyle name="Followed Hyperlink" xfId="3029" builtinId="9" hidden="1"/>
    <cellStyle name="Followed Hyperlink" xfId="3031" builtinId="9" hidden="1"/>
    <cellStyle name="Followed Hyperlink" xfId="3033" builtinId="9" hidden="1"/>
    <cellStyle name="Followed Hyperlink" xfId="3035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3" builtinId="9" hidden="1"/>
    <cellStyle name="Followed Hyperlink" xfId="3045" builtinId="9" hidden="1"/>
    <cellStyle name="Followed Hyperlink" xfId="3047" builtinId="9" hidden="1"/>
    <cellStyle name="Followed Hyperlink" xfId="3049" builtinId="9" hidden="1"/>
    <cellStyle name="Followed Hyperlink" xfId="3051" builtinId="9" hidden="1"/>
    <cellStyle name="Followed Hyperlink" xfId="3053" builtinId="9" hidden="1"/>
    <cellStyle name="Followed Hyperlink" xfId="3055" builtinId="9" hidden="1"/>
    <cellStyle name="Followed Hyperlink" xfId="3057" builtinId="9" hidden="1"/>
    <cellStyle name="Followed Hyperlink" xfId="3059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7" builtinId="9" hidden="1"/>
    <cellStyle name="Followed Hyperlink" xfId="3069" builtinId="9" hidden="1"/>
    <cellStyle name="Followed Hyperlink" xfId="3071" builtinId="9" hidden="1"/>
    <cellStyle name="Followed Hyperlink" xfId="3073" builtinId="9" hidden="1"/>
    <cellStyle name="Followed Hyperlink" xfId="3075" builtinId="9" hidden="1"/>
    <cellStyle name="Followed Hyperlink" xfId="3077" builtinId="9" hidden="1"/>
    <cellStyle name="Followed Hyperlink" xfId="3079" builtinId="9" hidden="1"/>
    <cellStyle name="Followed Hyperlink" xfId="3081" builtinId="9" hidden="1"/>
    <cellStyle name="Followed Hyperlink" xfId="3083" builtinId="9" hidden="1"/>
    <cellStyle name="Followed Hyperlink" xfId="3085" builtinId="9" hidden="1"/>
    <cellStyle name="Followed Hyperlink" xfId="3087" builtinId="9" hidden="1"/>
    <cellStyle name="Followed Hyperlink" xfId="3089" builtinId="9" hidden="1"/>
    <cellStyle name="Followed Hyperlink" xfId="3091" builtinId="9" hidden="1"/>
    <cellStyle name="Followed Hyperlink" xfId="3093" builtinId="9" hidden="1"/>
    <cellStyle name="Followed Hyperlink" xfId="3095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7" builtinId="9" hidden="1"/>
    <cellStyle name="Followed Hyperlink" xfId="3129" builtinId="9" hidden="1"/>
    <cellStyle name="Followed Hyperlink" xfId="3131" builtinId="9" hidden="1"/>
    <cellStyle name="Followed Hyperlink" xfId="3133" builtinId="9" hidden="1"/>
    <cellStyle name="Followed Hyperlink" xfId="3135" builtinId="9" hidden="1"/>
    <cellStyle name="Followed Hyperlink" xfId="3137" builtinId="9" hidden="1"/>
    <cellStyle name="Followed Hyperlink" xfId="3139" builtinId="9" hidden="1"/>
    <cellStyle name="Followed Hyperlink" xfId="3141" builtinId="9" hidden="1"/>
    <cellStyle name="Followed Hyperlink" xfId="3143" builtinId="9" hidden="1"/>
    <cellStyle name="Followed Hyperlink" xfId="3145" builtinId="9" hidden="1"/>
    <cellStyle name="Followed Hyperlink" xfId="3147" builtinId="9" hidden="1"/>
    <cellStyle name="Followed Hyperlink" xfId="3149" builtinId="9" hidden="1"/>
    <cellStyle name="Followed Hyperlink" xfId="3151" builtinId="9" hidden="1"/>
    <cellStyle name="Followed Hyperlink" xfId="3153" builtinId="9" hidden="1"/>
    <cellStyle name="Followed Hyperlink" xfId="3155" builtinId="9" hidden="1"/>
    <cellStyle name="Followed Hyperlink" xfId="3157" builtinId="9" hidden="1"/>
    <cellStyle name="Followed Hyperlink" xfId="3159" builtinId="9" hidden="1"/>
    <cellStyle name="Followed Hyperlink" xfId="3161" builtinId="9" hidden="1"/>
    <cellStyle name="Followed Hyperlink" xfId="3163" builtinId="9" hidden="1"/>
    <cellStyle name="Followed Hyperlink" xfId="3165" builtinId="9" hidden="1"/>
    <cellStyle name="Followed Hyperlink" xfId="3167" builtinId="9" hidden="1"/>
    <cellStyle name="Followed Hyperlink" xfId="3169" builtinId="9" hidden="1"/>
    <cellStyle name="Followed Hyperlink" xfId="3171" builtinId="9" hidden="1"/>
    <cellStyle name="Followed Hyperlink" xfId="3173" builtinId="9" hidden="1"/>
    <cellStyle name="Followed Hyperlink" xfId="3175" builtinId="9" hidden="1"/>
    <cellStyle name="Followed Hyperlink" xfId="3177" builtinId="9" hidden="1"/>
    <cellStyle name="Followed Hyperlink" xfId="3179" builtinId="9" hidden="1"/>
    <cellStyle name="Followed Hyperlink" xfId="3181" builtinId="9" hidden="1"/>
    <cellStyle name="Followed Hyperlink" xfId="3183" builtinId="9" hidden="1"/>
    <cellStyle name="Followed Hyperlink" xfId="3185" builtinId="9" hidden="1"/>
    <cellStyle name="Followed Hyperlink" xfId="3187" builtinId="9" hidden="1"/>
    <cellStyle name="Followed Hyperlink" xfId="3189" builtinId="9" hidden="1"/>
    <cellStyle name="Followed Hyperlink" xfId="3191" builtinId="9" hidden="1"/>
    <cellStyle name="Followed Hyperlink" xfId="3193" builtinId="9" hidden="1"/>
    <cellStyle name="Followed Hyperlink" xfId="3195" builtinId="9" hidden="1"/>
    <cellStyle name="Followed Hyperlink" xfId="3197" builtinId="9" hidden="1"/>
    <cellStyle name="Followed Hyperlink" xfId="3199" builtinId="9" hidden="1"/>
    <cellStyle name="Followed Hyperlink" xfId="3201" builtinId="9" hidden="1"/>
    <cellStyle name="Followed Hyperlink" xfId="3203" builtinId="9" hidden="1"/>
    <cellStyle name="Followed Hyperlink" xfId="3205" builtinId="9" hidden="1"/>
    <cellStyle name="Followed Hyperlink" xfId="3207" builtinId="9" hidden="1"/>
    <cellStyle name="Followed Hyperlink" xfId="3209" builtinId="9" hidden="1"/>
    <cellStyle name="Followed Hyperlink" xfId="3211" builtinId="9" hidden="1"/>
    <cellStyle name="Followed Hyperlink" xfId="3213" builtinId="9" hidden="1"/>
    <cellStyle name="Followed Hyperlink" xfId="3215" builtinId="9" hidden="1"/>
    <cellStyle name="Followed Hyperlink" xfId="3217" builtinId="9" hidden="1"/>
    <cellStyle name="Followed Hyperlink" xfId="3219" builtinId="9" hidden="1"/>
    <cellStyle name="Followed Hyperlink" xfId="3221" builtinId="9" hidden="1"/>
    <cellStyle name="Followed Hyperlink" xfId="3223" builtinId="9" hidden="1"/>
    <cellStyle name="Followed Hyperlink" xfId="3225" builtinId="9" hidden="1"/>
    <cellStyle name="Followed Hyperlink" xfId="3227" builtinId="9" hidden="1"/>
    <cellStyle name="Followed Hyperlink" xfId="3229" builtinId="9" hidden="1"/>
    <cellStyle name="Followed Hyperlink" xfId="3231" builtinId="9" hidden="1"/>
    <cellStyle name="Followed Hyperlink" xfId="3233" builtinId="9" hidden="1"/>
    <cellStyle name="Followed Hyperlink" xfId="3235" builtinId="9" hidden="1"/>
    <cellStyle name="Followed Hyperlink" xfId="3237" builtinId="9" hidden="1"/>
    <cellStyle name="Followed Hyperlink" xfId="3239" builtinId="9" hidden="1"/>
    <cellStyle name="Followed Hyperlink" xfId="3241" builtinId="9" hidden="1"/>
    <cellStyle name="Followed Hyperlink" xfId="3243" builtinId="9" hidden="1"/>
    <cellStyle name="Followed Hyperlink" xfId="3245" builtinId="9" hidden="1"/>
    <cellStyle name="Followed Hyperlink" xfId="3247" builtinId="9" hidden="1"/>
    <cellStyle name="Followed Hyperlink" xfId="3249" builtinId="9" hidden="1"/>
    <cellStyle name="Followed Hyperlink" xfId="3251" builtinId="9" hidden="1"/>
    <cellStyle name="Followed Hyperlink" xfId="3253" builtinId="9" hidden="1"/>
    <cellStyle name="Followed Hyperlink" xfId="3255" builtinId="9" hidden="1"/>
    <cellStyle name="Followed Hyperlink" xfId="3257" builtinId="9" hidden="1"/>
    <cellStyle name="Followed Hyperlink" xfId="3259" builtinId="9" hidden="1"/>
    <cellStyle name="Followed Hyperlink" xfId="3261" builtinId="9" hidden="1"/>
    <cellStyle name="Followed Hyperlink" xfId="3263" builtinId="9" hidden="1"/>
    <cellStyle name="Followed Hyperlink" xfId="3265" builtinId="9" hidden="1"/>
    <cellStyle name="Followed Hyperlink" xfId="3267" builtinId="9" hidden="1"/>
    <cellStyle name="Followed Hyperlink" xfId="3269" builtinId="9" hidden="1"/>
    <cellStyle name="Followed Hyperlink" xfId="3271" builtinId="9" hidden="1"/>
    <cellStyle name="Followed Hyperlink" xfId="3273" builtinId="9" hidden="1"/>
    <cellStyle name="Followed Hyperlink" xfId="3275" builtinId="9" hidden="1"/>
    <cellStyle name="Followed Hyperlink" xfId="3277" builtinId="9" hidden="1"/>
    <cellStyle name="Followed Hyperlink" xfId="3279" builtinId="9" hidden="1"/>
    <cellStyle name="Followed Hyperlink" xfId="3281" builtinId="9" hidden="1"/>
    <cellStyle name="Followed Hyperlink" xfId="3283" builtinId="9" hidden="1"/>
    <cellStyle name="Followed Hyperlink" xfId="3285" builtinId="9" hidden="1"/>
    <cellStyle name="Followed Hyperlink" xfId="3287" builtinId="9" hidden="1"/>
    <cellStyle name="Followed Hyperlink" xfId="3289" builtinId="9" hidden="1"/>
    <cellStyle name="Followed Hyperlink" xfId="3291" builtinId="9" hidden="1"/>
    <cellStyle name="Followed Hyperlink" xfId="3293" builtinId="9" hidden="1"/>
    <cellStyle name="Followed Hyperlink" xfId="3295" builtinId="9" hidden="1"/>
    <cellStyle name="Followed Hyperlink" xfId="3297" builtinId="9" hidden="1"/>
    <cellStyle name="Followed Hyperlink" xfId="3299" builtinId="9" hidden="1"/>
    <cellStyle name="Followed Hyperlink" xfId="3301" builtinId="9" hidden="1"/>
    <cellStyle name="Followed Hyperlink" xfId="3303" builtinId="9" hidden="1"/>
    <cellStyle name="Followed Hyperlink" xfId="3305" builtinId="9" hidden="1"/>
    <cellStyle name="Followed Hyperlink" xfId="3307" builtinId="9" hidden="1"/>
    <cellStyle name="Followed Hyperlink" xfId="3309" builtinId="9" hidden="1"/>
    <cellStyle name="Followed Hyperlink" xfId="3311" builtinId="9" hidden="1"/>
    <cellStyle name="Followed Hyperlink" xfId="3313" builtinId="9" hidden="1"/>
    <cellStyle name="Followed Hyperlink" xfId="3315" builtinId="9" hidden="1"/>
    <cellStyle name="Followed Hyperlink" xfId="3317" builtinId="9" hidden="1"/>
    <cellStyle name="Followed Hyperlink" xfId="3319" builtinId="9" hidden="1"/>
    <cellStyle name="Followed Hyperlink" xfId="3321" builtinId="9" hidden="1"/>
    <cellStyle name="Followed Hyperlink" xfId="3323" builtinId="9" hidden="1"/>
    <cellStyle name="Followed Hyperlink" xfId="3325" builtinId="9" hidden="1"/>
    <cellStyle name="Followed Hyperlink" xfId="3327" builtinId="9" hidden="1"/>
    <cellStyle name="Followed Hyperlink" xfId="3329" builtinId="9" hidden="1"/>
    <cellStyle name="Followed Hyperlink" xfId="3331" builtinId="9" hidden="1"/>
    <cellStyle name="Followed Hyperlink" xfId="3333" builtinId="9" hidden="1"/>
    <cellStyle name="Followed Hyperlink" xfId="3335" builtinId="9" hidden="1"/>
    <cellStyle name="Followed Hyperlink" xfId="3337" builtinId="9" hidden="1"/>
    <cellStyle name="Followed Hyperlink" xfId="3339" builtinId="9" hidden="1"/>
    <cellStyle name="Followed Hyperlink" xfId="3341" builtinId="9" hidden="1"/>
    <cellStyle name="Followed Hyperlink" xfId="3343" builtinId="9" hidden="1"/>
    <cellStyle name="Followed Hyperlink" xfId="3345" builtinId="9" hidden="1"/>
    <cellStyle name="Followed Hyperlink" xfId="3347" builtinId="9" hidden="1"/>
    <cellStyle name="Followed Hyperlink" xfId="3349" builtinId="9" hidden="1"/>
    <cellStyle name="Followed Hyperlink" xfId="3351" builtinId="9" hidden="1"/>
    <cellStyle name="Followed Hyperlink" xfId="3353" builtinId="9" hidden="1"/>
    <cellStyle name="Followed Hyperlink" xfId="3355" builtinId="9" hidden="1"/>
    <cellStyle name="Followed Hyperlink" xfId="3357" builtinId="9" hidden="1"/>
    <cellStyle name="Followed Hyperlink" xfId="3359" builtinId="9" hidden="1"/>
    <cellStyle name="Followed Hyperlink" xfId="3361" builtinId="9" hidden="1"/>
    <cellStyle name="Followed Hyperlink" xfId="3363" builtinId="9" hidden="1"/>
    <cellStyle name="Followed Hyperlink" xfId="3365" builtinId="9" hidden="1"/>
    <cellStyle name="Followed Hyperlink" xfId="3367" builtinId="9" hidden="1"/>
    <cellStyle name="Followed Hyperlink" xfId="3369" builtinId="9" hidden="1"/>
    <cellStyle name="Followed Hyperlink" xfId="3371" builtinId="9" hidden="1"/>
    <cellStyle name="Followed Hyperlink" xfId="3373" builtinId="9" hidden="1"/>
    <cellStyle name="Followed Hyperlink" xfId="3375" builtinId="9" hidden="1"/>
    <cellStyle name="Followed Hyperlink" xfId="3377" builtinId="9" hidden="1"/>
    <cellStyle name="Followed Hyperlink" xfId="3379" builtinId="9" hidden="1"/>
    <cellStyle name="Followed Hyperlink" xfId="3381" builtinId="9" hidden="1"/>
    <cellStyle name="Followed Hyperlink" xfId="3383" builtinId="9" hidden="1"/>
    <cellStyle name="Followed Hyperlink" xfId="3385" builtinId="9" hidden="1"/>
    <cellStyle name="Followed Hyperlink" xfId="3387" builtinId="9" hidden="1"/>
    <cellStyle name="Followed Hyperlink" xfId="3389" builtinId="9" hidden="1"/>
    <cellStyle name="Followed Hyperlink" xfId="3391" builtinId="9" hidden="1"/>
    <cellStyle name="Followed Hyperlink" xfId="3393" builtinId="9" hidden="1"/>
    <cellStyle name="Followed Hyperlink" xfId="3395" builtinId="9" hidden="1"/>
    <cellStyle name="Followed Hyperlink" xfId="3397" builtinId="9" hidden="1"/>
    <cellStyle name="Followed Hyperlink" xfId="3399" builtinId="9" hidden="1"/>
    <cellStyle name="Followed Hyperlink" xfId="3401" builtinId="9" hidden="1"/>
    <cellStyle name="Followed Hyperlink" xfId="3403" builtinId="9" hidden="1"/>
    <cellStyle name="Followed Hyperlink" xfId="3405" builtinId="9" hidden="1"/>
    <cellStyle name="Followed Hyperlink" xfId="3407" builtinId="9" hidden="1"/>
    <cellStyle name="Followed Hyperlink" xfId="3409" builtinId="9" hidden="1"/>
    <cellStyle name="Followed Hyperlink" xfId="3411" builtinId="9" hidden="1"/>
    <cellStyle name="Followed Hyperlink" xfId="3413" builtinId="9" hidden="1"/>
    <cellStyle name="Followed Hyperlink" xfId="3415" builtinId="9" hidden="1"/>
    <cellStyle name="Followed Hyperlink" xfId="3417" builtinId="9" hidden="1"/>
    <cellStyle name="Followed Hyperlink" xfId="3419" builtinId="9" hidden="1"/>
    <cellStyle name="Followed Hyperlink" xfId="3421" builtinId="9" hidden="1"/>
    <cellStyle name="Followed Hyperlink" xfId="3423" builtinId="9" hidden="1"/>
    <cellStyle name="Followed Hyperlink" xfId="3425" builtinId="9" hidden="1"/>
    <cellStyle name="Followed Hyperlink" xfId="3427" builtinId="9" hidden="1"/>
    <cellStyle name="Followed Hyperlink" xfId="3429" builtinId="9" hidden="1"/>
    <cellStyle name="Followed Hyperlink" xfId="3431" builtinId="9" hidden="1"/>
    <cellStyle name="Followed Hyperlink" xfId="3433" builtinId="9" hidden="1"/>
    <cellStyle name="Followed Hyperlink" xfId="3435" builtinId="9" hidden="1"/>
    <cellStyle name="Followed Hyperlink" xfId="3437" builtinId="9" hidden="1"/>
    <cellStyle name="Followed Hyperlink" xfId="3439" builtinId="9" hidden="1"/>
    <cellStyle name="Followed Hyperlink" xfId="3441" builtinId="9" hidden="1"/>
    <cellStyle name="Followed Hyperlink" xfId="3443" builtinId="9" hidden="1"/>
    <cellStyle name="Followed Hyperlink" xfId="3445" builtinId="9" hidden="1"/>
    <cellStyle name="Followed Hyperlink" xfId="3447" builtinId="9" hidden="1"/>
    <cellStyle name="Followed Hyperlink" xfId="3449" builtinId="9" hidden="1"/>
    <cellStyle name="Followed Hyperlink" xfId="3451" builtinId="9" hidden="1"/>
    <cellStyle name="Followed Hyperlink" xfId="3453" builtinId="9" hidden="1"/>
    <cellStyle name="Followed Hyperlink" xfId="3455" builtinId="9" hidden="1"/>
    <cellStyle name="Followed Hyperlink" xfId="3457" builtinId="9" hidden="1"/>
    <cellStyle name="Followed Hyperlink" xfId="3459" builtinId="9" hidden="1"/>
    <cellStyle name="Followed Hyperlink" xfId="3461" builtinId="9" hidden="1"/>
    <cellStyle name="Followed Hyperlink" xfId="3463" builtinId="9" hidden="1"/>
    <cellStyle name="Followed Hyperlink" xfId="3465" builtinId="9" hidden="1"/>
    <cellStyle name="Followed Hyperlink" xfId="3467" builtinId="9" hidden="1"/>
    <cellStyle name="Followed Hyperlink" xfId="3469" builtinId="9" hidden="1"/>
    <cellStyle name="Followed Hyperlink" xfId="3471" builtinId="9" hidden="1"/>
    <cellStyle name="Followed Hyperlink" xfId="3473" builtinId="9" hidden="1"/>
    <cellStyle name="Followed Hyperlink" xfId="3475" builtinId="9" hidden="1"/>
    <cellStyle name="Followed Hyperlink" xfId="3477" builtinId="9" hidden="1"/>
    <cellStyle name="Followed Hyperlink" xfId="3479" builtinId="9" hidden="1"/>
    <cellStyle name="Followed Hyperlink" xfId="3481" builtinId="9" hidden="1"/>
    <cellStyle name="Followed Hyperlink" xfId="3483" builtinId="9" hidden="1"/>
    <cellStyle name="Followed Hyperlink" xfId="3485" builtinId="9" hidden="1"/>
    <cellStyle name="Followed Hyperlink" xfId="3487" builtinId="9" hidden="1"/>
    <cellStyle name="Followed Hyperlink" xfId="3489" builtinId="9" hidden="1"/>
    <cellStyle name="Followed Hyperlink" xfId="3491" builtinId="9" hidden="1"/>
    <cellStyle name="Followed Hyperlink" xfId="3493" builtinId="9" hidden="1"/>
    <cellStyle name="Followed Hyperlink" xfId="3495" builtinId="9" hidden="1"/>
    <cellStyle name="Followed Hyperlink" xfId="3497" builtinId="9" hidden="1"/>
    <cellStyle name="Followed Hyperlink" xfId="3499" builtinId="9" hidden="1"/>
    <cellStyle name="Followed Hyperlink" xfId="3501" builtinId="9" hidden="1"/>
    <cellStyle name="Followed Hyperlink" xfId="3503" builtinId="9" hidden="1"/>
    <cellStyle name="Followed Hyperlink" xfId="3505" builtinId="9" hidden="1"/>
    <cellStyle name="Followed Hyperlink" xfId="3507" builtinId="9" hidden="1"/>
    <cellStyle name="Followed Hyperlink" xfId="3509" builtinId="9" hidden="1"/>
    <cellStyle name="Followed Hyperlink" xfId="3511" builtinId="9" hidden="1"/>
    <cellStyle name="Followed Hyperlink" xfId="3513" builtinId="9" hidden="1"/>
    <cellStyle name="Followed Hyperlink" xfId="3515" builtinId="9" hidden="1"/>
    <cellStyle name="Followed Hyperlink" xfId="3517" builtinId="9" hidden="1"/>
    <cellStyle name="Followed Hyperlink" xfId="3519" builtinId="9" hidden="1"/>
    <cellStyle name="Followed Hyperlink" xfId="3521" builtinId="9" hidden="1"/>
    <cellStyle name="Followed Hyperlink" xfId="3523" builtinId="9" hidden="1"/>
    <cellStyle name="Followed Hyperlink" xfId="3525" builtinId="9" hidden="1"/>
    <cellStyle name="Followed Hyperlink" xfId="3527" builtinId="9" hidden="1"/>
    <cellStyle name="Followed Hyperlink" xfId="3529" builtinId="9" hidden="1"/>
    <cellStyle name="Followed Hyperlink" xfId="3531" builtinId="9" hidden="1"/>
    <cellStyle name="Followed Hyperlink" xfId="3533" builtinId="9" hidden="1"/>
    <cellStyle name="Followed Hyperlink" xfId="3535" builtinId="9" hidden="1"/>
    <cellStyle name="Followed Hyperlink" xfId="3537" builtinId="9" hidden="1"/>
    <cellStyle name="Followed Hyperlink" xfId="3539" builtinId="9" hidden="1"/>
    <cellStyle name="Followed Hyperlink" xfId="3541" builtinId="9" hidden="1"/>
    <cellStyle name="Followed Hyperlink" xfId="3543" builtinId="9" hidden="1"/>
    <cellStyle name="Followed Hyperlink" xfId="3545" builtinId="9" hidden="1"/>
    <cellStyle name="Followed Hyperlink" xfId="3547" builtinId="9" hidden="1"/>
    <cellStyle name="Followed Hyperlink" xfId="3549" builtinId="9" hidden="1"/>
    <cellStyle name="Followed Hyperlink" xfId="3551" builtinId="9" hidden="1"/>
    <cellStyle name="Followed Hyperlink" xfId="3553" builtinId="9" hidden="1"/>
    <cellStyle name="Followed Hyperlink" xfId="3555" builtinId="9" hidden="1"/>
    <cellStyle name="Followed Hyperlink" xfId="3557" builtinId="9" hidden="1"/>
    <cellStyle name="Followed Hyperlink" xfId="3559" builtinId="9" hidden="1"/>
    <cellStyle name="Followed Hyperlink" xfId="3561" builtinId="9" hidden="1"/>
    <cellStyle name="Followed Hyperlink" xfId="3563" builtinId="9" hidden="1"/>
    <cellStyle name="Followed Hyperlink" xfId="3565" builtinId="9" hidden="1"/>
    <cellStyle name="Followed Hyperlink" xfId="3567" builtinId="9" hidden="1"/>
    <cellStyle name="Followed Hyperlink" xfId="3569" builtinId="9" hidden="1"/>
    <cellStyle name="Followed Hyperlink" xfId="3571" builtinId="9" hidden="1"/>
    <cellStyle name="Followed Hyperlink" xfId="3573" builtinId="9" hidden="1"/>
    <cellStyle name="Followed Hyperlink" xfId="3575" builtinId="9" hidden="1"/>
    <cellStyle name="Followed Hyperlink" xfId="3577" builtinId="9" hidden="1"/>
    <cellStyle name="Followed Hyperlink" xfId="3579" builtinId="9" hidden="1"/>
    <cellStyle name="Followed Hyperlink" xfId="3581" builtinId="9" hidden="1"/>
    <cellStyle name="Followed Hyperlink" xfId="3583" builtinId="9" hidden="1"/>
    <cellStyle name="Followed Hyperlink" xfId="3585" builtinId="9" hidden="1"/>
    <cellStyle name="Followed Hyperlink" xfId="3587" builtinId="9" hidden="1"/>
    <cellStyle name="Followed Hyperlink" xfId="3589" builtinId="9" hidden="1"/>
    <cellStyle name="Followed Hyperlink" xfId="3591" builtinId="9" hidden="1"/>
    <cellStyle name="Followed Hyperlink" xfId="3593" builtinId="9" hidden="1"/>
    <cellStyle name="Followed Hyperlink" xfId="3595" builtinId="9" hidden="1"/>
    <cellStyle name="Followed Hyperlink" xfId="3597" builtinId="9" hidden="1"/>
    <cellStyle name="Followed Hyperlink" xfId="3599" builtinId="9" hidden="1"/>
    <cellStyle name="Followed Hyperlink" xfId="3601" builtinId="9" hidden="1"/>
    <cellStyle name="Followed Hyperlink" xfId="3603" builtinId="9" hidden="1"/>
    <cellStyle name="Followed Hyperlink" xfId="3605" builtinId="9" hidden="1"/>
    <cellStyle name="Followed Hyperlink" xfId="3607" builtinId="9" hidden="1"/>
    <cellStyle name="Followed Hyperlink" xfId="3609" builtinId="9" hidden="1"/>
    <cellStyle name="Followed Hyperlink" xfId="3611" builtinId="9" hidden="1"/>
    <cellStyle name="Followed Hyperlink" xfId="3613" builtinId="9" hidden="1"/>
    <cellStyle name="Followed Hyperlink" xfId="3615" builtinId="9" hidden="1"/>
    <cellStyle name="Followed Hyperlink" xfId="3617" builtinId="9" hidden="1"/>
    <cellStyle name="Followed Hyperlink" xfId="3619" builtinId="9" hidden="1"/>
    <cellStyle name="Followed Hyperlink" xfId="3621" builtinId="9" hidden="1"/>
    <cellStyle name="Followed Hyperlink" xfId="3623" builtinId="9" hidden="1"/>
    <cellStyle name="Followed Hyperlink" xfId="3625" builtinId="9" hidden="1"/>
    <cellStyle name="Followed Hyperlink" xfId="3627" builtinId="9" hidden="1"/>
    <cellStyle name="Followed Hyperlink" xfId="3629" builtinId="9" hidden="1"/>
    <cellStyle name="Followed Hyperlink" xfId="3631" builtinId="9" hidden="1"/>
    <cellStyle name="Followed Hyperlink" xfId="3633" builtinId="9" hidden="1"/>
    <cellStyle name="Followed Hyperlink" xfId="3635" builtinId="9" hidden="1"/>
    <cellStyle name="Followed Hyperlink" xfId="3637" builtinId="9" hidden="1"/>
    <cellStyle name="Followed Hyperlink" xfId="3639" builtinId="9" hidden="1"/>
    <cellStyle name="Followed Hyperlink" xfId="3641" builtinId="9" hidden="1"/>
    <cellStyle name="Followed Hyperlink" xfId="3643" builtinId="9" hidden="1"/>
    <cellStyle name="Followed Hyperlink" xfId="3645" builtinId="9" hidden="1"/>
    <cellStyle name="Followed Hyperlink" xfId="3647" builtinId="9" hidden="1"/>
    <cellStyle name="Followed Hyperlink" xfId="3649" builtinId="9" hidden="1"/>
    <cellStyle name="Followed Hyperlink" xfId="3651" builtinId="9" hidden="1"/>
    <cellStyle name="Followed Hyperlink" xfId="3653" builtinId="9" hidden="1"/>
    <cellStyle name="Followed Hyperlink" xfId="3655" builtinId="9" hidden="1"/>
    <cellStyle name="Followed Hyperlink" xfId="3657" builtinId="9" hidden="1"/>
    <cellStyle name="Followed Hyperlink" xfId="3659" builtinId="9" hidden="1"/>
    <cellStyle name="Followed Hyperlink" xfId="3661" builtinId="9" hidden="1"/>
    <cellStyle name="Followed Hyperlink" xfId="3663" builtinId="9" hidden="1"/>
    <cellStyle name="Followed Hyperlink" xfId="3665" builtinId="9" hidden="1"/>
    <cellStyle name="Followed Hyperlink" xfId="3667" builtinId="9" hidden="1"/>
    <cellStyle name="Followed Hyperlink" xfId="3669" builtinId="9" hidden="1"/>
    <cellStyle name="Followed Hyperlink" xfId="3671" builtinId="9" hidden="1"/>
    <cellStyle name="Followed Hyperlink" xfId="3673" builtinId="9" hidden="1"/>
    <cellStyle name="Followed Hyperlink" xfId="3675" builtinId="9" hidden="1"/>
    <cellStyle name="Followed Hyperlink" xfId="3677" builtinId="9" hidden="1"/>
    <cellStyle name="Followed Hyperlink" xfId="3679" builtinId="9" hidden="1"/>
    <cellStyle name="Followed Hyperlink" xfId="3681" builtinId="9" hidden="1"/>
    <cellStyle name="Followed Hyperlink" xfId="3683" builtinId="9" hidden="1"/>
    <cellStyle name="Followed Hyperlink" xfId="3685" builtinId="9" hidden="1"/>
    <cellStyle name="Followed Hyperlink" xfId="3687" builtinId="9" hidden="1"/>
    <cellStyle name="Followed Hyperlink" xfId="3689" builtinId="9" hidden="1"/>
    <cellStyle name="Followed Hyperlink" xfId="3691" builtinId="9" hidden="1"/>
    <cellStyle name="Followed Hyperlink" xfId="3693" builtinId="9" hidden="1"/>
    <cellStyle name="Followed Hyperlink" xfId="3695" builtinId="9" hidden="1"/>
    <cellStyle name="Followed Hyperlink" xfId="3697" builtinId="9" hidden="1"/>
    <cellStyle name="Followed Hyperlink" xfId="3699" builtinId="9" hidden="1"/>
    <cellStyle name="Followed Hyperlink" xfId="3701" builtinId="9" hidden="1"/>
    <cellStyle name="Followed Hyperlink" xfId="3703" builtinId="9" hidden="1"/>
    <cellStyle name="Followed Hyperlink" xfId="3705" builtinId="9" hidden="1"/>
    <cellStyle name="Followed Hyperlink" xfId="3707" builtinId="9" hidden="1"/>
    <cellStyle name="Followed Hyperlink" xfId="3709" builtinId="9" hidden="1"/>
    <cellStyle name="Followed Hyperlink" xfId="3711" builtinId="9" hidden="1"/>
    <cellStyle name="Followed Hyperlink" xfId="3713" builtinId="9" hidden="1"/>
    <cellStyle name="Followed Hyperlink" xfId="3715" builtinId="9" hidden="1"/>
    <cellStyle name="Followed Hyperlink" xfId="3717" builtinId="9" hidden="1"/>
    <cellStyle name="Followed Hyperlink" xfId="3719" builtinId="9" hidden="1"/>
    <cellStyle name="Followed Hyperlink" xfId="3721" builtinId="9" hidden="1"/>
    <cellStyle name="Followed Hyperlink" xfId="3723" builtinId="9" hidden="1"/>
    <cellStyle name="Followed Hyperlink" xfId="3725" builtinId="9" hidden="1"/>
    <cellStyle name="Followed Hyperlink" xfId="3727" builtinId="9" hidden="1"/>
    <cellStyle name="Followed Hyperlink" xfId="3729" builtinId="9" hidden="1"/>
    <cellStyle name="Followed Hyperlink" xfId="3731" builtinId="9" hidden="1"/>
    <cellStyle name="Followed Hyperlink" xfId="3733" builtinId="9" hidden="1"/>
    <cellStyle name="Followed Hyperlink" xfId="3735" builtinId="9" hidden="1"/>
    <cellStyle name="Followed Hyperlink" xfId="3737" builtinId="9" hidden="1"/>
    <cellStyle name="Followed Hyperlink" xfId="3739" builtinId="9" hidden="1"/>
    <cellStyle name="Followed Hyperlink" xfId="3741" builtinId="9" hidden="1"/>
    <cellStyle name="Followed Hyperlink" xfId="3743" builtinId="9" hidden="1"/>
    <cellStyle name="Followed Hyperlink" xfId="3745" builtinId="9" hidden="1"/>
    <cellStyle name="Followed Hyperlink" xfId="3747" builtinId="9" hidden="1"/>
    <cellStyle name="Followed Hyperlink" xfId="3749" builtinId="9" hidden="1"/>
    <cellStyle name="Followed Hyperlink" xfId="3751" builtinId="9" hidden="1"/>
    <cellStyle name="Followed Hyperlink" xfId="3753" builtinId="9" hidden="1"/>
    <cellStyle name="Followed Hyperlink" xfId="3755" builtinId="9" hidden="1"/>
    <cellStyle name="Followed Hyperlink" xfId="3757" builtinId="9" hidden="1"/>
    <cellStyle name="Followed Hyperlink" xfId="3759" builtinId="9" hidden="1"/>
    <cellStyle name="Followed Hyperlink" xfId="3761" builtinId="9" hidden="1"/>
    <cellStyle name="Followed Hyperlink" xfId="3763" builtinId="9" hidden="1"/>
    <cellStyle name="Followed Hyperlink" xfId="3765" builtinId="9" hidden="1"/>
    <cellStyle name="Followed Hyperlink" xfId="3767" builtinId="9" hidden="1"/>
    <cellStyle name="Followed Hyperlink" xfId="3769" builtinId="9" hidden="1"/>
    <cellStyle name="Followed Hyperlink" xfId="3771" builtinId="9" hidden="1"/>
    <cellStyle name="Followed Hyperlink" xfId="3773" builtinId="9" hidden="1"/>
    <cellStyle name="Followed Hyperlink" xfId="3775" builtinId="9" hidden="1"/>
    <cellStyle name="Followed Hyperlink" xfId="3777" builtinId="9" hidden="1"/>
    <cellStyle name="Followed Hyperlink" xfId="3779" builtinId="9" hidden="1"/>
    <cellStyle name="Followed Hyperlink" xfId="3781" builtinId="9" hidden="1"/>
    <cellStyle name="Followed Hyperlink" xfId="3783" builtinId="9" hidden="1"/>
    <cellStyle name="Followed Hyperlink" xfId="3785" builtinId="9" hidden="1"/>
    <cellStyle name="Followed Hyperlink" xfId="3787" builtinId="9" hidden="1"/>
    <cellStyle name="Followed Hyperlink" xfId="3789" builtinId="9" hidden="1"/>
    <cellStyle name="Followed Hyperlink" xfId="3791" builtinId="9" hidden="1"/>
    <cellStyle name="Followed Hyperlink" xfId="3793" builtinId="9" hidden="1"/>
    <cellStyle name="Followed Hyperlink" xfId="3795" builtinId="9" hidden="1"/>
    <cellStyle name="Followed Hyperlink" xfId="3797" builtinId="9" hidden="1"/>
    <cellStyle name="Followed Hyperlink" xfId="3799" builtinId="9" hidden="1"/>
    <cellStyle name="Followed Hyperlink" xfId="3801" builtinId="9" hidden="1"/>
    <cellStyle name="Followed Hyperlink" xfId="3803" builtinId="9" hidden="1"/>
    <cellStyle name="Followed Hyperlink" xfId="3805" builtinId="9" hidden="1"/>
    <cellStyle name="Followed Hyperlink" xfId="3807" builtinId="9" hidden="1"/>
    <cellStyle name="Followed Hyperlink" xfId="3809" builtinId="9" hidden="1"/>
    <cellStyle name="Followed Hyperlink" xfId="3811" builtinId="9" hidden="1"/>
    <cellStyle name="Followed Hyperlink" xfId="3813" builtinId="9" hidden="1"/>
    <cellStyle name="Followed Hyperlink" xfId="3815" builtinId="9" hidden="1"/>
    <cellStyle name="Followed Hyperlink" xfId="3817" builtinId="9" hidden="1"/>
    <cellStyle name="Followed Hyperlink" xfId="3819" builtinId="9" hidden="1"/>
    <cellStyle name="Followed Hyperlink" xfId="3821" builtinId="9" hidden="1"/>
    <cellStyle name="Followed Hyperlink" xfId="3823" builtinId="9" hidden="1"/>
    <cellStyle name="Followed Hyperlink" xfId="3825" builtinId="9" hidden="1"/>
    <cellStyle name="Followed Hyperlink" xfId="3827" builtinId="9" hidden="1"/>
    <cellStyle name="Followed Hyperlink" xfId="3829" builtinId="9" hidden="1"/>
    <cellStyle name="Followed Hyperlink" xfId="3831" builtinId="9" hidden="1"/>
    <cellStyle name="Followed Hyperlink" xfId="3833" builtinId="9" hidden="1"/>
    <cellStyle name="Followed Hyperlink" xfId="3835" builtinId="9" hidden="1"/>
    <cellStyle name="Followed Hyperlink" xfId="3837" builtinId="9" hidden="1"/>
    <cellStyle name="Followed Hyperlink" xfId="3839" builtinId="9" hidden="1"/>
    <cellStyle name="Followed Hyperlink" xfId="3841" builtinId="9" hidden="1"/>
    <cellStyle name="Followed Hyperlink" xfId="3843" builtinId="9" hidden="1"/>
    <cellStyle name="Followed Hyperlink" xfId="3845" builtinId="9" hidden="1"/>
    <cellStyle name="Followed Hyperlink" xfId="3847" builtinId="9" hidden="1"/>
    <cellStyle name="Followed Hyperlink" xfId="3849" builtinId="9" hidden="1"/>
    <cellStyle name="Followed Hyperlink" xfId="3851" builtinId="9" hidden="1"/>
    <cellStyle name="Followed Hyperlink" xfId="3853" builtinId="9" hidden="1"/>
    <cellStyle name="Followed Hyperlink" xfId="3855" builtinId="9" hidden="1"/>
    <cellStyle name="Followed Hyperlink" xfId="3857" builtinId="9" hidden="1"/>
    <cellStyle name="Followed Hyperlink" xfId="3859" builtinId="9" hidden="1"/>
    <cellStyle name="Followed Hyperlink" xfId="3861" builtinId="9" hidden="1"/>
    <cellStyle name="Followed Hyperlink" xfId="3863" builtinId="9" hidden="1"/>
    <cellStyle name="Followed Hyperlink" xfId="3865" builtinId="9" hidden="1"/>
    <cellStyle name="Followed Hyperlink" xfId="3867" builtinId="9" hidden="1"/>
    <cellStyle name="Followed Hyperlink" xfId="3869" builtinId="9" hidden="1"/>
    <cellStyle name="Followed Hyperlink" xfId="3871" builtinId="9" hidden="1"/>
    <cellStyle name="Followed Hyperlink" xfId="3873" builtinId="9" hidden="1"/>
    <cellStyle name="Followed Hyperlink" xfId="3875" builtinId="9" hidden="1"/>
    <cellStyle name="Followed Hyperlink" xfId="3877" builtinId="9" hidden="1"/>
    <cellStyle name="Followed Hyperlink" xfId="3879" builtinId="9" hidden="1"/>
    <cellStyle name="Followed Hyperlink" xfId="3881" builtinId="9" hidden="1"/>
    <cellStyle name="Followed Hyperlink" xfId="3883" builtinId="9" hidden="1"/>
    <cellStyle name="Followed Hyperlink" xfId="3885" builtinId="9" hidden="1"/>
    <cellStyle name="Followed Hyperlink" xfId="3887" builtinId="9" hidden="1"/>
    <cellStyle name="Followed Hyperlink" xfId="3889" builtinId="9" hidden="1"/>
    <cellStyle name="Followed Hyperlink" xfId="3891" builtinId="9" hidden="1"/>
    <cellStyle name="Followed Hyperlink" xfId="3893" builtinId="9" hidden="1"/>
    <cellStyle name="Followed Hyperlink" xfId="3895" builtinId="9" hidden="1"/>
    <cellStyle name="Followed Hyperlink" xfId="3897" builtinId="9" hidden="1"/>
    <cellStyle name="Followed Hyperlink" xfId="3899" builtinId="9" hidden="1"/>
    <cellStyle name="Followed Hyperlink" xfId="3901" builtinId="9" hidden="1"/>
    <cellStyle name="Followed Hyperlink" xfId="3903" builtinId="9" hidden="1"/>
    <cellStyle name="Followed Hyperlink" xfId="3905" builtinId="9" hidden="1"/>
    <cellStyle name="Followed Hyperlink" xfId="3907" builtinId="9" hidden="1"/>
    <cellStyle name="Followed Hyperlink" xfId="3909" builtinId="9" hidden="1"/>
    <cellStyle name="Followed Hyperlink" xfId="3911" builtinId="9" hidden="1"/>
    <cellStyle name="Followed Hyperlink" xfId="3913" builtinId="9" hidden="1"/>
    <cellStyle name="Followed Hyperlink" xfId="3915" builtinId="9" hidden="1"/>
    <cellStyle name="Followed Hyperlink" xfId="3917" builtinId="9" hidden="1"/>
    <cellStyle name="Followed Hyperlink" xfId="3919" builtinId="9" hidden="1"/>
    <cellStyle name="Followed Hyperlink" xfId="3921" builtinId="9" hidden="1"/>
    <cellStyle name="Followed Hyperlink" xfId="3923" builtinId="9" hidden="1"/>
    <cellStyle name="Followed Hyperlink" xfId="3925" builtinId="9" hidden="1"/>
    <cellStyle name="Followed Hyperlink" xfId="3927" builtinId="9" hidden="1"/>
    <cellStyle name="Followed Hyperlink" xfId="3929" builtinId="9" hidden="1"/>
    <cellStyle name="Followed Hyperlink" xfId="3931" builtinId="9" hidden="1"/>
    <cellStyle name="Followed Hyperlink" xfId="3933" builtinId="9" hidden="1"/>
    <cellStyle name="Followed Hyperlink" xfId="3935" builtinId="9" hidden="1"/>
    <cellStyle name="Followed Hyperlink" xfId="3937" builtinId="9" hidden="1"/>
    <cellStyle name="Followed Hyperlink" xfId="3939" builtinId="9" hidden="1"/>
    <cellStyle name="Followed Hyperlink" xfId="3941" builtinId="9" hidden="1"/>
    <cellStyle name="Followed Hyperlink" xfId="3943" builtinId="9" hidden="1"/>
    <cellStyle name="Followed Hyperlink" xfId="3945" builtinId="9" hidden="1"/>
    <cellStyle name="Followed Hyperlink" xfId="3947" builtinId="9" hidden="1"/>
    <cellStyle name="Followed Hyperlink" xfId="3949" builtinId="9" hidden="1"/>
    <cellStyle name="Followed Hyperlink" xfId="3951" builtinId="9" hidden="1"/>
    <cellStyle name="Followed Hyperlink" xfId="3953" builtinId="9" hidden="1"/>
    <cellStyle name="Followed Hyperlink" xfId="3955" builtinId="9" hidden="1"/>
    <cellStyle name="Followed Hyperlink" xfId="3957" builtinId="9" hidden="1"/>
    <cellStyle name="Followed Hyperlink" xfId="3959" builtinId="9" hidden="1"/>
    <cellStyle name="Followed Hyperlink" xfId="3961" builtinId="9" hidden="1"/>
    <cellStyle name="Followed Hyperlink" xfId="3963" builtinId="9" hidden="1"/>
    <cellStyle name="Followed Hyperlink" xfId="3965" builtinId="9" hidden="1"/>
    <cellStyle name="Followed Hyperlink" xfId="3967" builtinId="9" hidden="1"/>
    <cellStyle name="Followed Hyperlink" xfId="3969" builtinId="9" hidden="1"/>
    <cellStyle name="Followed Hyperlink" xfId="3971" builtinId="9" hidden="1"/>
    <cellStyle name="Followed Hyperlink" xfId="3973" builtinId="9" hidden="1"/>
    <cellStyle name="Followed Hyperlink" xfId="3975" builtinId="9" hidden="1"/>
    <cellStyle name="Followed Hyperlink" xfId="3977" builtinId="9" hidden="1"/>
    <cellStyle name="Followed Hyperlink" xfId="3979" builtinId="9" hidden="1"/>
    <cellStyle name="Followed Hyperlink" xfId="3981" builtinId="9" hidden="1"/>
    <cellStyle name="Followed Hyperlink" xfId="3983" builtinId="9" hidden="1"/>
    <cellStyle name="Followed Hyperlink" xfId="3985" builtinId="9" hidden="1"/>
    <cellStyle name="Followed Hyperlink" xfId="3987" builtinId="9" hidden="1"/>
    <cellStyle name="Followed Hyperlink" xfId="3989" builtinId="9" hidden="1"/>
    <cellStyle name="Followed Hyperlink" xfId="3991" builtinId="9" hidden="1"/>
    <cellStyle name="Followed Hyperlink" xfId="3993" builtinId="9" hidden="1"/>
    <cellStyle name="Followed Hyperlink" xfId="3995" builtinId="9" hidden="1"/>
    <cellStyle name="Followed Hyperlink" xfId="3997" builtinId="9" hidden="1"/>
    <cellStyle name="Followed Hyperlink" xfId="3999" builtinId="9" hidden="1"/>
    <cellStyle name="Followed Hyperlink" xfId="4001" builtinId="9" hidden="1"/>
    <cellStyle name="Followed Hyperlink" xfId="4003" builtinId="9" hidden="1"/>
    <cellStyle name="Followed Hyperlink" xfId="4005" builtinId="9" hidden="1"/>
    <cellStyle name="Followed Hyperlink" xfId="4007" builtinId="9" hidden="1"/>
    <cellStyle name="Followed Hyperlink" xfId="4009" builtinId="9" hidden="1"/>
    <cellStyle name="Followed Hyperlink" xfId="4011" builtinId="9" hidden="1"/>
    <cellStyle name="Followed Hyperlink" xfId="4013" builtinId="9" hidden="1"/>
    <cellStyle name="Followed Hyperlink" xfId="4015" builtinId="9" hidden="1"/>
    <cellStyle name="Followed Hyperlink" xfId="4017" builtinId="9" hidden="1"/>
    <cellStyle name="Followed Hyperlink" xfId="4019" builtinId="9" hidden="1"/>
    <cellStyle name="Followed Hyperlink" xfId="4021" builtinId="9" hidden="1"/>
    <cellStyle name="Followed Hyperlink" xfId="4023" builtinId="9" hidden="1"/>
    <cellStyle name="Followed Hyperlink" xfId="4025" builtinId="9" hidden="1"/>
    <cellStyle name="Followed Hyperlink" xfId="4027" builtinId="9" hidden="1"/>
    <cellStyle name="Followed Hyperlink" xfId="4029" builtinId="9" hidden="1"/>
    <cellStyle name="Followed Hyperlink" xfId="4031" builtinId="9" hidden="1"/>
    <cellStyle name="Followed Hyperlink" xfId="4033" builtinId="9" hidden="1"/>
    <cellStyle name="Followed Hyperlink" xfId="4035" builtinId="9" hidden="1"/>
    <cellStyle name="Followed Hyperlink" xfId="4037" builtinId="9" hidden="1"/>
    <cellStyle name="Followed Hyperlink" xfId="4039" builtinId="9" hidden="1"/>
    <cellStyle name="Followed Hyperlink" xfId="4041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1" builtinId="9" hidden="1"/>
    <cellStyle name="Followed Hyperlink" xfId="4103" builtinId="9" hidden="1"/>
    <cellStyle name="Followed Hyperlink" xfId="4105" builtinId="9" hidden="1"/>
    <cellStyle name="Followed Hyperlink" xfId="4107" builtinId="9" hidden="1"/>
    <cellStyle name="Followed Hyperlink" xfId="4109" builtinId="9" hidden="1"/>
    <cellStyle name="Followed Hyperlink" xfId="4111" builtinId="9" hidden="1"/>
    <cellStyle name="Followed Hyperlink" xfId="4113" builtinId="9" hidden="1"/>
    <cellStyle name="Followed Hyperlink" xfId="4115" builtinId="9" hidden="1"/>
    <cellStyle name="Followed Hyperlink" xfId="4117" builtinId="9" hidden="1"/>
    <cellStyle name="Followed Hyperlink" xfId="4119" builtinId="9" hidden="1"/>
    <cellStyle name="Followed Hyperlink" xfId="4121" builtinId="9" hidden="1"/>
    <cellStyle name="Followed Hyperlink" xfId="4123" builtinId="9" hidden="1"/>
    <cellStyle name="Followed Hyperlink" xfId="4125" builtinId="9" hidden="1"/>
    <cellStyle name="Followed Hyperlink" xfId="4127" builtinId="9" hidden="1"/>
    <cellStyle name="Followed Hyperlink" xfId="4129" builtinId="9" hidden="1"/>
    <cellStyle name="Followed Hyperlink" xfId="4131" builtinId="9" hidden="1"/>
    <cellStyle name="Followed Hyperlink" xfId="4133" builtinId="9" hidden="1"/>
    <cellStyle name="Followed Hyperlink" xfId="4135" builtinId="9" hidden="1"/>
    <cellStyle name="Followed Hyperlink" xfId="4137" builtinId="9" hidden="1"/>
    <cellStyle name="Followed Hyperlink" xfId="4139" builtinId="9" hidden="1"/>
    <cellStyle name="Followed Hyperlink" xfId="4141" builtinId="9" hidden="1"/>
    <cellStyle name="Followed Hyperlink" xfId="4143" builtinId="9" hidden="1"/>
    <cellStyle name="Followed Hyperlink" xfId="4145" builtinId="9" hidden="1"/>
    <cellStyle name="Followed Hyperlink" xfId="4147" builtinId="9" hidden="1"/>
    <cellStyle name="Followed Hyperlink" xfId="4149" builtinId="9" hidden="1"/>
    <cellStyle name="Followed Hyperlink" xfId="4151" builtinId="9" hidden="1"/>
    <cellStyle name="Followed Hyperlink" xfId="4153" builtinId="9" hidden="1"/>
    <cellStyle name="Followed Hyperlink" xfId="4155" builtinId="9" hidden="1"/>
    <cellStyle name="Followed Hyperlink" xfId="4157" builtinId="9" hidden="1"/>
    <cellStyle name="Followed Hyperlink" xfId="4159" builtinId="9" hidden="1"/>
    <cellStyle name="Followed Hyperlink" xfId="4161" builtinId="9" hidden="1"/>
    <cellStyle name="Followed Hyperlink" xfId="4163" builtinId="9" hidden="1"/>
    <cellStyle name="Followed Hyperlink" xfId="4165" builtinId="9" hidden="1"/>
    <cellStyle name="Followed Hyperlink" xfId="4167" builtinId="9" hidden="1"/>
    <cellStyle name="Followed Hyperlink" xfId="4169" builtinId="9" hidden="1"/>
    <cellStyle name="Followed Hyperlink" xfId="4171" builtinId="9" hidden="1"/>
    <cellStyle name="Followed Hyperlink" xfId="4173" builtinId="9" hidden="1"/>
    <cellStyle name="Followed Hyperlink" xfId="4175" builtinId="9" hidden="1"/>
    <cellStyle name="Followed Hyperlink" xfId="4177" builtinId="9" hidden="1"/>
    <cellStyle name="Followed Hyperlink" xfId="4179" builtinId="9" hidden="1"/>
    <cellStyle name="Followed Hyperlink" xfId="4181" builtinId="9" hidden="1"/>
    <cellStyle name="Followed Hyperlink" xfId="4183" builtinId="9" hidden="1"/>
    <cellStyle name="Followed Hyperlink" xfId="4185" builtinId="9" hidden="1"/>
    <cellStyle name="Followed Hyperlink" xfId="4187" builtinId="9" hidden="1"/>
    <cellStyle name="Followed Hyperlink" xfId="4189" builtinId="9" hidden="1"/>
    <cellStyle name="Followed Hyperlink" xfId="4191" builtinId="9" hidden="1"/>
    <cellStyle name="Followed Hyperlink" xfId="4193" builtinId="9" hidden="1"/>
    <cellStyle name="Followed Hyperlink" xfId="4195" builtinId="9" hidden="1"/>
    <cellStyle name="Followed Hyperlink" xfId="4197" builtinId="9" hidden="1"/>
    <cellStyle name="Followed Hyperlink" xfId="4199" builtinId="9" hidden="1"/>
    <cellStyle name="Followed Hyperlink" xfId="4201" builtinId="9" hidden="1"/>
    <cellStyle name="Followed Hyperlink" xfId="4203" builtinId="9" hidden="1"/>
    <cellStyle name="Followed Hyperlink" xfId="4205" builtinId="9" hidden="1"/>
    <cellStyle name="Followed Hyperlink" xfId="4207" builtinId="9" hidden="1"/>
    <cellStyle name="Followed Hyperlink" xfId="4209" builtinId="9" hidden="1"/>
    <cellStyle name="Followed Hyperlink" xfId="4211" builtinId="9" hidden="1"/>
    <cellStyle name="Followed Hyperlink" xfId="4213" builtinId="9" hidden="1"/>
    <cellStyle name="Followed Hyperlink" xfId="4215" builtinId="9" hidden="1"/>
    <cellStyle name="Followed Hyperlink" xfId="4217" builtinId="9" hidden="1"/>
    <cellStyle name="Followed Hyperlink" xfId="4219" builtinId="9" hidden="1"/>
    <cellStyle name="Followed Hyperlink" xfId="4221" builtinId="9" hidden="1"/>
    <cellStyle name="Followed Hyperlink" xfId="4223" builtinId="9" hidden="1"/>
    <cellStyle name="Followed Hyperlink" xfId="4225" builtinId="9" hidden="1"/>
    <cellStyle name="Followed Hyperlink" xfId="4227" builtinId="9" hidden="1"/>
    <cellStyle name="Followed Hyperlink" xfId="4229" builtinId="9" hidden="1"/>
    <cellStyle name="Followed Hyperlink" xfId="4231" builtinId="9" hidden="1"/>
    <cellStyle name="Followed Hyperlink" xfId="4233" builtinId="9" hidden="1"/>
    <cellStyle name="Followed Hyperlink" xfId="4235" builtinId="9" hidden="1"/>
    <cellStyle name="Followed Hyperlink" xfId="4237" builtinId="9" hidden="1"/>
    <cellStyle name="Followed Hyperlink" xfId="4239" builtinId="9" hidden="1"/>
    <cellStyle name="Followed Hyperlink" xfId="4241" builtinId="9" hidden="1"/>
    <cellStyle name="Followed Hyperlink" xfId="4243" builtinId="9" hidden="1"/>
    <cellStyle name="Followed Hyperlink" xfId="4245" builtinId="9" hidden="1"/>
    <cellStyle name="Followed Hyperlink" xfId="4247" builtinId="9" hidden="1"/>
    <cellStyle name="Followed Hyperlink" xfId="4249" builtinId="9" hidden="1"/>
    <cellStyle name="Followed Hyperlink" xfId="4251" builtinId="9" hidden="1"/>
    <cellStyle name="Followed Hyperlink" xfId="4253" builtinId="9" hidden="1"/>
    <cellStyle name="Followed Hyperlink" xfId="4255" builtinId="9" hidden="1"/>
    <cellStyle name="Followed Hyperlink" xfId="4257" builtinId="9" hidden="1"/>
    <cellStyle name="Followed Hyperlink" xfId="4259" builtinId="9" hidden="1"/>
    <cellStyle name="Followed Hyperlink" xfId="4261" builtinId="9" hidden="1"/>
    <cellStyle name="Followed Hyperlink" xfId="4263" builtinId="9" hidden="1"/>
    <cellStyle name="Followed Hyperlink" xfId="4265" builtinId="9" hidden="1"/>
    <cellStyle name="Followed Hyperlink" xfId="4267" builtinId="9" hidden="1"/>
    <cellStyle name="Followed Hyperlink" xfId="4269" builtinId="9" hidden="1"/>
    <cellStyle name="Followed Hyperlink" xfId="4271" builtinId="9" hidden="1"/>
    <cellStyle name="Followed Hyperlink" xfId="4273" builtinId="9" hidden="1"/>
    <cellStyle name="Followed Hyperlink" xfId="4275" builtinId="9" hidden="1"/>
    <cellStyle name="Followed Hyperlink" xfId="4277" builtinId="9" hidden="1"/>
    <cellStyle name="Followed Hyperlink" xfId="4279" builtinId="9" hidden="1"/>
    <cellStyle name="Followed Hyperlink" xfId="4281" builtinId="9" hidden="1"/>
    <cellStyle name="Followed Hyperlink" xfId="4283" builtinId="9" hidden="1"/>
    <cellStyle name="Followed Hyperlink" xfId="4285" builtinId="9" hidden="1"/>
    <cellStyle name="Followed Hyperlink" xfId="4287" builtinId="9" hidden="1"/>
    <cellStyle name="Followed Hyperlink" xfId="4289" builtinId="9" hidden="1"/>
    <cellStyle name="Followed Hyperlink" xfId="4291" builtinId="9" hidden="1"/>
    <cellStyle name="Followed Hyperlink" xfId="4293" builtinId="9" hidden="1"/>
    <cellStyle name="Followed Hyperlink" xfId="4295" builtinId="9" hidden="1"/>
    <cellStyle name="Followed Hyperlink" xfId="4297" builtinId="9" hidden="1"/>
    <cellStyle name="Followed Hyperlink" xfId="4299" builtinId="9" hidden="1"/>
    <cellStyle name="Followed Hyperlink" xfId="4301" builtinId="9" hidden="1"/>
    <cellStyle name="Followed Hyperlink" xfId="4303" builtinId="9" hidden="1"/>
    <cellStyle name="Followed Hyperlink" xfId="4305" builtinId="9" hidden="1"/>
    <cellStyle name="Followed Hyperlink" xfId="4307" builtinId="9" hidden="1"/>
    <cellStyle name="Followed Hyperlink" xfId="4309" builtinId="9" hidden="1"/>
    <cellStyle name="Followed Hyperlink" xfId="4311" builtinId="9" hidden="1"/>
    <cellStyle name="Followed Hyperlink" xfId="4313" builtinId="9" hidden="1"/>
    <cellStyle name="Followed Hyperlink" xfId="4315" builtinId="9" hidden="1"/>
    <cellStyle name="Followed Hyperlink" xfId="4317" builtinId="9" hidden="1"/>
    <cellStyle name="Followed Hyperlink" xfId="4319" builtinId="9" hidden="1"/>
    <cellStyle name="Followed Hyperlink" xfId="4321" builtinId="9" hidden="1"/>
    <cellStyle name="Followed Hyperlink" xfId="4323" builtinId="9" hidden="1"/>
    <cellStyle name="Followed Hyperlink" xfId="4325" builtinId="9" hidden="1"/>
    <cellStyle name="Followed Hyperlink" xfId="4327" builtinId="9" hidden="1"/>
    <cellStyle name="Followed Hyperlink" xfId="4329" builtinId="9" hidden="1"/>
    <cellStyle name="Followed Hyperlink" xfId="4331" builtinId="9" hidden="1"/>
    <cellStyle name="Followed Hyperlink" xfId="4333" builtinId="9" hidden="1"/>
    <cellStyle name="Followed Hyperlink" xfId="4335" builtinId="9" hidden="1"/>
    <cellStyle name="Followed Hyperlink" xfId="4337" builtinId="9" hidden="1"/>
    <cellStyle name="Followed Hyperlink" xfId="4339" builtinId="9" hidden="1"/>
    <cellStyle name="Followed Hyperlink" xfId="4341" builtinId="9" hidden="1"/>
    <cellStyle name="Followed Hyperlink" xfId="4343" builtinId="9" hidden="1"/>
    <cellStyle name="Followed Hyperlink" xfId="4345" builtinId="9" hidden="1"/>
    <cellStyle name="Followed Hyperlink" xfId="4347" builtinId="9" hidden="1"/>
    <cellStyle name="Followed Hyperlink" xfId="4349" builtinId="9" hidden="1"/>
    <cellStyle name="Followed Hyperlink" xfId="4351" builtinId="9" hidden="1"/>
    <cellStyle name="Followed Hyperlink" xfId="4353" builtinId="9" hidden="1"/>
    <cellStyle name="Followed Hyperlink" xfId="4355" builtinId="9" hidden="1"/>
    <cellStyle name="Followed Hyperlink" xfId="4357" builtinId="9" hidden="1"/>
    <cellStyle name="Followed Hyperlink" xfId="4359" builtinId="9" hidden="1"/>
    <cellStyle name="Followed Hyperlink" xfId="4361" builtinId="9" hidden="1"/>
    <cellStyle name="Followed Hyperlink" xfId="4363" builtinId="9" hidden="1"/>
    <cellStyle name="Followed Hyperlink" xfId="4365" builtinId="9" hidden="1"/>
    <cellStyle name="Followed Hyperlink" xfId="4367" builtinId="9" hidden="1"/>
    <cellStyle name="Followed Hyperlink" xfId="4369" builtinId="9" hidden="1"/>
    <cellStyle name="Followed Hyperlink" xfId="4371" builtinId="9" hidden="1"/>
    <cellStyle name="Followed Hyperlink" xfId="4373" builtinId="9" hidden="1"/>
    <cellStyle name="Followed Hyperlink" xfId="4375" builtinId="9" hidden="1"/>
    <cellStyle name="Followed Hyperlink" xfId="4377" builtinId="9" hidden="1"/>
    <cellStyle name="Followed Hyperlink" xfId="4379" builtinId="9" hidden="1"/>
    <cellStyle name="Followed Hyperlink" xfId="4381" builtinId="9" hidden="1"/>
    <cellStyle name="Followed Hyperlink" xfId="4383" builtinId="9" hidden="1"/>
    <cellStyle name="Followed Hyperlink" xfId="4385" builtinId="9" hidden="1"/>
    <cellStyle name="Followed Hyperlink" xfId="4387" builtinId="9" hidden="1"/>
    <cellStyle name="Followed Hyperlink" xfId="4389" builtinId="9" hidden="1"/>
    <cellStyle name="Followed Hyperlink" xfId="4391" builtinId="9" hidden="1"/>
    <cellStyle name="Followed Hyperlink" xfId="4393" builtinId="9" hidden="1"/>
    <cellStyle name="Followed Hyperlink" xfId="4395" builtinId="9" hidden="1"/>
    <cellStyle name="Followed Hyperlink" xfId="4397" builtinId="9" hidden="1"/>
    <cellStyle name="Followed Hyperlink" xfId="4399" builtinId="9" hidden="1"/>
    <cellStyle name="Followed Hyperlink" xfId="4401" builtinId="9" hidden="1"/>
    <cellStyle name="Followed Hyperlink" xfId="4403" builtinId="9" hidden="1"/>
    <cellStyle name="Followed Hyperlink" xfId="4405" builtinId="9" hidden="1"/>
    <cellStyle name="Followed Hyperlink" xfId="4407" builtinId="9" hidden="1"/>
    <cellStyle name="Followed Hyperlink" xfId="4409" builtinId="9" hidden="1"/>
    <cellStyle name="Followed Hyperlink" xfId="4411" builtinId="9" hidden="1"/>
    <cellStyle name="Followed Hyperlink" xfId="4413" builtinId="9" hidden="1"/>
    <cellStyle name="Followed Hyperlink" xfId="4415" builtinId="9" hidden="1"/>
    <cellStyle name="Followed Hyperlink" xfId="4417" builtinId="9" hidden="1"/>
    <cellStyle name="Followed Hyperlink" xfId="4419" builtinId="9" hidden="1"/>
    <cellStyle name="Followed Hyperlink" xfId="4421" builtinId="9" hidden="1"/>
    <cellStyle name="Followed Hyperlink" xfId="4423" builtinId="9" hidden="1"/>
    <cellStyle name="Followed Hyperlink" xfId="4425" builtinId="9" hidden="1"/>
    <cellStyle name="Followed Hyperlink" xfId="4427" builtinId="9" hidden="1"/>
    <cellStyle name="Followed Hyperlink" xfId="4429" builtinId="9" hidden="1"/>
    <cellStyle name="Followed Hyperlink" xfId="4431" builtinId="9" hidden="1"/>
    <cellStyle name="Followed Hyperlink" xfId="4433" builtinId="9" hidden="1"/>
    <cellStyle name="Followed Hyperlink" xfId="4435" builtinId="9" hidden="1"/>
    <cellStyle name="Followed Hyperlink" xfId="4437" builtinId="9" hidden="1"/>
    <cellStyle name="Followed Hyperlink" xfId="4439" builtinId="9" hidden="1"/>
    <cellStyle name="Followed Hyperlink" xfId="4441" builtinId="9" hidden="1"/>
    <cellStyle name="Followed Hyperlink" xfId="4443" builtinId="9" hidden="1"/>
    <cellStyle name="Followed Hyperlink" xfId="4445" builtinId="9" hidden="1"/>
    <cellStyle name="Followed Hyperlink" xfId="4447" builtinId="9" hidden="1"/>
    <cellStyle name="Followed Hyperlink" xfId="4449" builtinId="9" hidden="1"/>
    <cellStyle name="Followed Hyperlink" xfId="4451" builtinId="9" hidden="1"/>
    <cellStyle name="Followed Hyperlink" xfId="4453" builtinId="9" hidden="1"/>
    <cellStyle name="Followed Hyperlink" xfId="4455" builtinId="9" hidden="1"/>
    <cellStyle name="Followed Hyperlink" xfId="4457" builtinId="9" hidden="1"/>
    <cellStyle name="Followed Hyperlink" xfId="4459" builtinId="9" hidden="1"/>
    <cellStyle name="Followed Hyperlink" xfId="4461" builtinId="9" hidden="1"/>
    <cellStyle name="Followed Hyperlink" xfId="4463" builtinId="9" hidden="1"/>
    <cellStyle name="Followed Hyperlink" xfId="4465" builtinId="9" hidden="1"/>
    <cellStyle name="Followed Hyperlink" xfId="4467" builtinId="9" hidden="1"/>
    <cellStyle name="Followed Hyperlink" xfId="4469" builtinId="9" hidden="1"/>
    <cellStyle name="Followed Hyperlink" xfId="4471" builtinId="9" hidden="1"/>
    <cellStyle name="Followed Hyperlink" xfId="4473" builtinId="9" hidden="1"/>
    <cellStyle name="Followed Hyperlink" xfId="4475" builtinId="9" hidden="1"/>
    <cellStyle name="Followed Hyperlink" xfId="4477" builtinId="9" hidden="1"/>
    <cellStyle name="Followed Hyperlink" xfId="4479" builtinId="9" hidden="1"/>
    <cellStyle name="Followed Hyperlink" xfId="4481" builtinId="9" hidden="1"/>
    <cellStyle name="Followed Hyperlink" xfId="4483" builtinId="9" hidden="1"/>
    <cellStyle name="Followed Hyperlink" xfId="4485" builtinId="9" hidden="1"/>
    <cellStyle name="Followed Hyperlink" xfId="4487" builtinId="9" hidden="1"/>
    <cellStyle name="Followed Hyperlink" xfId="4489" builtinId="9" hidden="1"/>
    <cellStyle name="Followed Hyperlink" xfId="4491" builtinId="9" hidden="1"/>
    <cellStyle name="Followed Hyperlink" xfId="4493" builtinId="9" hidden="1"/>
    <cellStyle name="Followed Hyperlink" xfId="4495" builtinId="9" hidden="1"/>
    <cellStyle name="Followed Hyperlink" xfId="4497" builtinId="9" hidden="1"/>
    <cellStyle name="Followed Hyperlink" xfId="4499" builtinId="9" hidden="1"/>
    <cellStyle name="Followed Hyperlink" xfId="4501" builtinId="9" hidden="1"/>
    <cellStyle name="Followed Hyperlink" xfId="4503" builtinId="9" hidden="1"/>
    <cellStyle name="Followed Hyperlink" xfId="4505" builtinId="9" hidden="1"/>
    <cellStyle name="Followed Hyperlink" xfId="4507" builtinId="9" hidden="1"/>
    <cellStyle name="Followed Hyperlink" xfId="4509" builtinId="9" hidden="1"/>
    <cellStyle name="Followed Hyperlink" xfId="4511" builtinId="9" hidden="1"/>
    <cellStyle name="Followed Hyperlink" xfId="4513" builtinId="9" hidden="1"/>
    <cellStyle name="Followed Hyperlink" xfId="4515" builtinId="9" hidden="1"/>
    <cellStyle name="Followed Hyperlink" xfId="4517" builtinId="9" hidden="1"/>
    <cellStyle name="Followed Hyperlink" xfId="4519" builtinId="9" hidden="1"/>
    <cellStyle name="Followed Hyperlink" xfId="4521" builtinId="9" hidden="1"/>
    <cellStyle name="Followed Hyperlink" xfId="4523" builtinId="9" hidden="1"/>
    <cellStyle name="Followed Hyperlink" xfId="4525" builtinId="9" hidden="1"/>
    <cellStyle name="Followed Hyperlink" xfId="4527" builtinId="9" hidden="1"/>
    <cellStyle name="Followed Hyperlink" xfId="4529" builtinId="9" hidden="1"/>
    <cellStyle name="Followed Hyperlink" xfId="4531" builtinId="9" hidden="1"/>
    <cellStyle name="Followed Hyperlink" xfId="4533" builtinId="9" hidden="1"/>
    <cellStyle name="Followed Hyperlink" xfId="4535" builtinId="9" hidden="1"/>
    <cellStyle name="Followed Hyperlink" xfId="4537" builtinId="9" hidden="1"/>
    <cellStyle name="Followed Hyperlink" xfId="4539" builtinId="9" hidden="1"/>
    <cellStyle name="Followed Hyperlink" xfId="4541" builtinId="9" hidden="1"/>
    <cellStyle name="Followed Hyperlink" xfId="4543" builtinId="9" hidden="1"/>
    <cellStyle name="Followed Hyperlink" xfId="4545" builtinId="9" hidden="1"/>
    <cellStyle name="Followed Hyperlink" xfId="4547" builtinId="9" hidden="1"/>
    <cellStyle name="Followed Hyperlink" xfId="4549" builtinId="9" hidden="1"/>
    <cellStyle name="Followed Hyperlink" xfId="4551" builtinId="9" hidden="1"/>
    <cellStyle name="Followed Hyperlink" xfId="4553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571" builtinId="9" hidden="1"/>
    <cellStyle name="Followed Hyperlink" xfId="4573" builtinId="9" hidden="1"/>
    <cellStyle name="Followed Hyperlink" xfId="4575" builtinId="9" hidden="1"/>
    <cellStyle name="Followed Hyperlink" xfId="4577" builtinId="9" hidden="1"/>
    <cellStyle name="Followed Hyperlink" xfId="4579" builtinId="9" hidden="1"/>
    <cellStyle name="Followed Hyperlink" xfId="4581" builtinId="9" hidden="1"/>
    <cellStyle name="Followed Hyperlink" xfId="4583" builtinId="9" hidden="1"/>
    <cellStyle name="Followed Hyperlink" xfId="4585" builtinId="9" hidden="1"/>
    <cellStyle name="Followed Hyperlink" xfId="4587" builtinId="9" hidden="1"/>
    <cellStyle name="Followed Hyperlink" xfId="4589" builtinId="9" hidden="1"/>
    <cellStyle name="Followed Hyperlink" xfId="4591" builtinId="9" hidden="1"/>
    <cellStyle name="Followed Hyperlink" xfId="4593" builtinId="9" hidden="1"/>
    <cellStyle name="Followed Hyperlink" xfId="4595" builtinId="9" hidden="1"/>
    <cellStyle name="Followed Hyperlink" xfId="4597" builtinId="9" hidden="1"/>
    <cellStyle name="Followed Hyperlink" xfId="4599" builtinId="9" hidden="1"/>
    <cellStyle name="Followed Hyperlink" xfId="4601" builtinId="9" hidden="1"/>
    <cellStyle name="Followed Hyperlink" xfId="4603" builtinId="9" hidden="1"/>
    <cellStyle name="Followed Hyperlink" xfId="4605" builtinId="9" hidden="1"/>
    <cellStyle name="Followed Hyperlink" xfId="4607" builtinId="9" hidden="1"/>
    <cellStyle name="Followed Hyperlink" xfId="4609" builtinId="9" hidden="1"/>
    <cellStyle name="Followed Hyperlink" xfId="4611" builtinId="9" hidden="1"/>
    <cellStyle name="Followed Hyperlink" xfId="4613" builtinId="9" hidden="1"/>
    <cellStyle name="Followed Hyperlink" xfId="4615" builtinId="9" hidden="1"/>
    <cellStyle name="Followed Hyperlink" xfId="4617" builtinId="9" hidden="1"/>
    <cellStyle name="Followed Hyperlink" xfId="4619" builtinId="9" hidden="1"/>
    <cellStyle name="Followed Hyperlink" xfId="4621" builtinId="9" hidden="1"/>
    <cellStyle name="Followed Hyperlink" xfId="4623" builtinId="9" hidden="1"/>
    <cellStyle name="Followed Hyperlink" xfId="4625" builtinId="9" hidden="1"/>
    <cellStyle name="Followed Hyperlink" xfId="4627" builtinId="9" hidden="1"/>
    <cellStyle name="Followed Hyperlink" xfId="4629" builtinId="9" hidden="1"/>
    <cellStyle name="Followed Hyperlink" xfId="4631" builtinId="9" hidden="1"/>
    <cellStyle name="Followed Hyperlink" xfId="4633" builtinId="9" hidden="1"/>
    <cellStyle name="Followed Hyperlink" xfId="4635" builtinId="9" hidden="1"/>
    <cellStyle name="Followed Hyperlink" xfId="4637" builtinId="9" hidden="1"/>
    <cellStyle name="Followed Hyperlink" xfId="4639" builtinId="9" hidden="1"/>
    <cellStyle name="Followed Hyperlink" xfId="4641" builtinId="9" hidden="1"/>
    <cellStyle name="Followed Hyperlink" xfId="4643" builtinId="9" hidden="1"/>
    <cellStyle name="Followed Hyperlink" xfId="4645" builtinId="9" hidden="1"/>
    <cellStyle name="Followed Hyperlink" xfId="4647" builtinId="9" hidden="1"/>
    <cellStyle name="Followed Hyperlink" xfId="4649" builtinId="9" hidden="1"/>
    <cellStyle name="Followed Hyperlink" xfId="4651" builtinId="9" hidden="1"/>
    <cellStyle name="Followed Hyperlink" xfId="4653" builtinId="9" hidden="1"/>
    <cellStyle name="Followed Hyperlink" xfId="4655" builtinId="9" hidden="1"/>
    <cellStyle name="Followed Hyperlink" xfId="4657" builtinId="9" hidden="1"/>
    <cellStyle name="Followed Hyperlink" xfId="4659" builtinId="9" hidden="1"/>
    <cellStyle name="Followed Hyperlink" xfId="4661" builtinId="9" hidden="1"/>
    <cellStyle name="Followed Hyperlink" xfId="4663" builtinId="9" hidden="1"/>
    <cellStyle name="Followed Hyperlink" xfId="4665" builtinId="9" hidden="1"/>
    <cellStyle name="Followed Hyperlink" xfId="4667" builtinId="9" hidden="1"/>
    <cellStyle name="Followed Hyperlink" xfId="4669" builtinId="9" hidden="1"/>
    <cellStyle name="Followed Hyperlink" xfId="4671" builtinId="9" hidden="1"/>
    <cellStyle name="Followed Hyperlink" xfId="4673" builtinId="9" hidden="1"/>
    <cellStyle name="Followed Hyperlink" xfId="4675" builtinId="9" hidden="1"/>
    <cellStyle name="Followed Hyperlink" xfId="4677" builtinId="9" hidden="1"/>
    <cellStyle name="Followed Hyperlink" xfId="4679" builtinId="9" hidden="1"/>
    <cellStyle name="Followed Hyperlink" xfId="4681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5" builtinId="9" hidden="1"/>
    <cellStyle name="Followed Hyperlink" xfId="5337" builtinId="9" hidden="1"/>
    <cellStyle name="Followed Hyperlink" xfId="5339" builtinId="9" hidden="1"/>
    <cellStyle name="Followed Hyperlink" xfId="5341" builtinId="9" hidden="1"/>
    <cellStyle name="Followed Hyperlink" xfId="5343" builtinId="9" hidden="1"/>
    <cellStyle name="Followed Hyperlink" xfId="5345" builtinId="9" hidden="1"/>
    <cellStyle name="Followed Hyperlink" xfId="5347" builtinId="9" hidden="1"/>
    <cellStyle name="Followed Hyperlink" xfId="5349" builtinId="9" hidden="1"/>
    <cellStyle name="Followed Hyperlink" xfId="5351" builtinId="9" hidden="1"/>
    <cellStyle name="Followed Hyperlink" xfId="5353" builtinId="9" hidden="1"/>
    <cellStyle name="Followed Hyperlink" xfId="5355" builtinId="9" hidden="1"/>
    <cellStyle name="Followed Hyperlink" xfId="5357" builtinId="9" hidden="1"/>
    <cellStyle name="Followed Hyperlink" xfId="5359" builtinId="9" hidden="1"/>
    <cellStyle name="Followed Hyperlink" xfId="5361" builtinId="9" hidden="1"/>
    <cellStyle name="Followed Hyperlink" xfId="5363" builtinId="9" hidden="1"/>
    <cellStyle name="Followed Hyperlink" xfId="5365" builtinId="9" hidden="1"/>
    <cellStyle name="Followed Hyperlink" xfId="5367" builtinId="9" hidden="1"/>
    <cellStyle name="Followed Hyperlink" xfId="5369" builtinId="9" hidden="1"/>
    <cellStyle name="Followed Hyperlink" xfId="5371" builtinId="9" hidden="1"/>
    <cellStyle name="Followed Hyperlink" xfId="5373" builtinId="9" hidden="1"/>
    <cellStyle name="Followed Hyperlink" xfId="5375" builtinId="9" hidden="1"/>
    <cellStyle name="Followed Hyperlink" xfId="5377" builtinId="9" hidden="1"/>
    <cellStyle name="Followed Hyperlink" xfId="5379" builtinId="9" hidden="1"/>
    <cellStyle name="Followed Hyperlink" xfId="5381" builtinId="9" hidden="1"/>
    <cellStyle name="Followed Hyperlink" xfId="5383" builtinId="9" hidden="1"/>
    <cellStyle name="Followed Hyperlink" xfId="5385" builtinId="9" hidden="1"/>
    <cellStyle name="Followed Hyperlink" xfId="5387" builtinId="9" hidden="1"/>
    <cellStyle name="Followed Hyperlink" xfId="5389" builtinId="9" hidden="1"/>
    <cellStyle name="Followed Hyperlink" xfId="5391" builtinId="9" hidden="1"/>
    <cellStyle name="Followed Hyperlink" xfId="5393" builtinId="9" hidden="1"/>
    <cellStyle name="Followed Hyperlink" xfId="5395" builtinId="9" hidden="1"/>
    <cellStyle name="Followed Hyperlink" xfId="5397" builtinId="9" hidden="1"/>
    <cellStyle name="Followed Hyperlink" xfId="5399" builtinId="9" hidden="1"/>
    <cellStyle name="Followed Hyperlink" xfId="5401" builtinId="9" hidden="1"/>
    <cellStyle name="Followed Hyperlink" xfId="5403" builtinId="9" hidden="1"/>
    <cellStyle name="Followed Hyperlink" xfId="5405" builtinId="9" hidden="1"/>
    <cellStyle name="Followed Hyperlink" xfId="5407" builtinId="9" hidden="1"/>
    <cellStyle name="Followed Hyperlink" xfId="5409" builtinId="9" hidden="1"/>
    <cellStyle name="Followed Hyperlink" xfId="5411" builtinId="9" hidden="1"/>
    <cellStyle name="Followed Hyperlink" xfId="5413" builtinId="9" hidden="1"/>
    <cellStyle name="Followed Hyperlink" xfId="5415" builtinId="9" hidden="1"/>
    <cellStyle name="Followed Hyperlink" xfId="5417" builtinId="9" hidden="1"/>
    <cellStyle name="Followed Hyperlink" xfId="5419" builtinId="9" hidden="1"/>
    <cellStyle name="Followed Hyperlink" xfId="5421" builtinId="9" hidden="1"/>
    <cellStyle name="Followed Hyperlink" xfId="5423" builtinId="9" hidden="1"/>
    <cellStyle name="Followed Hyperlink" xfId="5425" builtinId="9" hidden="1"/>
    <cellStyle name="Followed Hyperlink" xfId="5427" builtinId="9" hidden="1"/>
    <cellStyle name="Followed Hyperlink" xfId="5429" builtinId="9" hidden="1"/>
    <cellStyle name="Followed Hyperlink" xfId="5431" builtinId="9" hidden="1"/>
    <cellStyle name="Followed Hyperlink" xfId="5433" builtinId="9" hidden="1"/>
    <cellStyle name="Followed Hyperlink" xfId="5435" builtinId="9" hidden="1"/>
    <cellStyle name="Followed Hyperlink" xfId="5437" builtinId="9" hidden="1"/>
    <cellStyle name="Followed Hyperlink" xfId="5439" builtinId="9" hidden="1"/>
    <cellStyle name="Followed Hyperlink" xfId="5441" builtinId="9" hidden="1"/>
    <cellStyle name="Followed Hyperlink" xfId="5443" builtinId="9" hidden="1"/>
    <cellStyle name="Followed Hyperlink" xfId="5445" builtinId="9" hidden="1"/>
    <cellStyle name="Followed Hyperlink" xfId="5447" builtinId="9" hidden="1"/>
    <cellStyle name="Followed Hyperlink" xfId="5449" builtinId="9" hidden="1"/>
    <cellStyle name="Followed Hyperlink" xfId="5451" builtinId="9" hidden="1"/>
    <cellStyle name="Followed Hyperlink" xfId="5453" builtinId="9" hidden="1"/>
    <cellStyle name="Followed Hyperlink" xfId="5455" builtinId="9" hidden="1"/>
    <cellStyle name="Followed Hyperlink" xfId="5457" builtinId="9" hidden="1"/>
    <cellStyle name="Followed Hyperlink" xfId="5459" builtinId="9" hidden="1"/>
    <cellStyle name="Followed Hyperlink" xfId="5461" builtinId="9" hidden="1"/>
    <cellStyle name="Followed Hyperlink" xfId="5463" builtinId="9" hidden="1"/>
    <cellStyle name="Followed Hyperlink" xfId="5465" builtinId="9" hidden="1"/>
    <cellStyle name="Followed Hyperlink" xfId="5467" builtinId="9" hidden="1"/>
    <cellStyle name="Followed Hyperlink" xfId="5469" builtinId="9" hidden="1"/>
    <cellStyle name="Followed Hyperlink" xfId="5471" builtinId="9" hidden="1"/>
    <cellStyle name="Followed Hyperlink" xfId="5473" builtinId="9" hidden="1"/>
    <cellStyle name="Followed Hyperlink" xfId="5475" builtinId="9" hidden="1"/>
    <cellStyle name="Followed Hyperlink" xfId="5477" builtinId="9" hidden="1"/>
    <cellStyle name="Followed Hyperlink" xfId="5479" builtinId="9" hidden="1"/>
    <cellStyle name="Followed Hyperlink" xfId="5481" builtinId="9" hidden="1"/>
    <cellStyle name="Followed Hyperlink" xfId="5483" builtinId="9" hidden="1"/>
    <cellStyle name="Followed Hyperlink" xfId="5485" builtinId="9" hidden="1"/>
    <cellStyle name="Followed Hyperlink" xfId="5487" builtinId="9" hidden="1"/>
    <cellStyle name="Followed Hyperlink" xfId="5489" builtinId="9" hidden="1"/>
    <cellStyle name="Followed Hyperlink" xfId="5491" builtinId="9" hidden="1"/>
    <cellStyle name="Followed Hyperlink" xfId="5493" builtinId="9" hidden="1"/>
    <cellStyle name="Followed Hyperlink" xfId="5495" builtinId="9" hidden="1"/>
    <cellStyle name="Followed Hyperlink" xfId="5497" builtinId="9" hidden="1"/>
    <cellStyle name="Followed Hyperlink" xfId="5499" builtinId="9" hidden="1"/>
    <cellStyle name="Followed Hyperlink" xfId="5501" builtinId="9" hidden="1"/>
    <cellStyle name="Followed Hyperlink" xfId="5503" builtinId="9" hidden="1"/>
    <cellStyle name="Followed Hyperlink" xfId="5505" builtinId="9" hidden="1"/>
    <cellStyle name="Followed Hyperlink" xfId="5507" builtinId="9" hidden="1"/>
    <cellStyle name="Followed Hyperlink" xfId="5509" builtinId="9" hidden="1"/>
    <cellStyle name="Followed Hyperlink" xfId="5511" builtinId="9" hidden="1"/>
    <cellStyle name="Followed Hyperlink" xfId="5513" builtinId="9" hidden="1"/>
    <cellStyle name="Followed Hyperlink" xfId="5515" builtinId="9" hidden="1"/>
    <cellStyle name="Followed Hyperlink" xfId="5517" builtinId="9" hidden="1"/>
    <cellStyle name="Followed Hyperlink" xfId="5519" builtinId="9" hidden="1"/>
    <cellStyle name="Followed Hyperlink" xfId="5521" builtinId="9" hidden="1"/>
    <cellStyle name="Followed Hyperlink" xfId="5523" builtinId="9" hidden="1"/>
    <cellStyle name="Followed Hyperlink" xfId="5525" builtinId="9" hidden="1"/>
    <cellStyle name="Followed Hyperlink" xfId="5527" builtinId="9" hidden="1"/>
    <cellStyle name="Followed Hyperlink" xfId="5529" builtinId="9" hidden="1"/>
    <cellStyle name="Followed Hyperlink" xfId="5531" builtinId="9" hidden="1"/>
    <cellStyle name="Followed Hyperlink" xfId="5533" builtinId="9" hidden="1"/>
    <cellStyle name="Followed Hyperlink" xfId="5535" builtinId="9" hidden="1"/>
    <cellStyle name="Followed Hyperlink" xfId="5537" builtinId="9" hidden="1"/>
    <cellStyle name="Followed Hyperlink" xfId="5539" builtinId="9" hidden="1"/>
    <cellStyle name="Followed Hyperlink" xfId="5541" builtinId="9" hidden="1"/>
    <cellStyle name="Followed Hyperlink" xfId="5543" builtinId="9" hidden="1"/>
    <cellStyle name="Followed Hyperlink" xfId="5545" builtinId="9" hidden="1"/>
    <cellStyle name="Followed Hyperlink" xfId="5547" builtinId="9" hidden="1"/>
    <cellStyle name="Followed Hyperlink" xfId="5549" builtinId="9" hidden="1"/>
    <cellStyle name="Followed Hyperlink" xfId="5551" builtinId="9" hidden="1"/>
    <cellStyle name="Followed Hyperlink" xfId="5553" builtinId="9" hidden="1"/>
    <cellStyle name="Followed Hyperlink" xfId="5555" builtinId="9" hidden="1"/>
    <cellStyle name="Followed Hyperlink" xfId="5557" builtinId="9" hidden="1"/>
    <cellStyle name="Followed Hyperlink" xfId="5559" builtinId="9" hidden="1"/>
    <cellStyle name="Followed Hyperlink" xfId="5561" builtinId="9" hidden="1"/>
    <cellStyle name="Followed Hyperlink" xfId="5563" builtinId="9" hidden="1"/>
    <cellStyle name="Followed Hyperlink" xfId="5565" builtinId="9" hidden="1"/>
    <cellStyle name="Followed Hyperlink" xfId="5567" builtinId="9" hidden="1"/>
    <cellStyle name="Followed Hyperlink" xfId="5569" builtinId="9" hidden="1"/>
    <cellStyle name="Followed Hyperlink" xfId="5571" builtinId="9" hidden="1"/>
    <cellStyle name="Followed Hyperlink" xfId="5573" builtinId="9" hidden="1"/>
    <cellStyle name="Followed Hyperlink" xfId="5575" builtinId="9" hidden="1"/>
    <cellStyle name="Followed Hyperlink" xfId="5577" builtinId="9" hidden="1"/>
    <cellStyle name="Followed Hyperlink" xfId="5579" builtinId="9" hidden="1"/>
    <cellStyle name="Followed Hyperlink" xfId="5581" builtinId="9" hidden="1"/>
    <cellStyle name="Followed Hyperlink" xfId="5583" builtinId="9" hidden="1"/>
    <cellStyle name="Followed Hyperlink" xfId="5585" builtinId="9" hidden="1"/>
    <cellStyle name="Followed Hyperlink" xfId="5587" builtinId="9" hidden="1"/>
    <cellStyle name="Followed Hyperlink" xfId="5589" builtinId="9" hidden="1"/>
    <cellStyle name="Followed Hyperlink" xfId="5591" builtinId="9" hidden="1"/>
    <cellStyle name="Followed Hyperlink" xfId="5593" builtinId="9" hidden="1"/>
    <cellStyle name="Followed Hyperlink" xfId="5595" builtinId="9" hidden="1"/>
    <cellStyle name="Followed Hyperlink" xfId="5597" builtinId="9" hidden="1"/>
    <cellStyle name="Followed Hyperlink" xfId="5599" builtinId="9" hidden="1"/>
    <cellStyle name="Followed Hyperlink" xfId="5601" builtinId="9" hidden="1"/>
    <cellStyle name="Followed Hyperlink" xfId="5603" builtinId="9" hidden="1"/>
    <cellStyle name="Followed Hyperlink" xfId="5605" builtinId="9" hidden="1"/>
    <cellStyle name="Followed Hyperlink" xfId="5607" builtinId="9" hidden="1"/>
    <cellStyle name="Followed Hyperlink" xfId="5609" builtinId="9" hidden="1"/>
    <cellStyle name="Followed Hyperlink" xfId="5611" builtinId="9" hidden="1"/>
    <cellStyle name="Followed Hyperlink" xfId="5613" builtinId="9" hidden="1"/>
    <cellStyle name="Followed Hyperlink" xfId="5615" builtinId="9" hidden="1"/>
    <cellStyle name="Followed Hyperlink" xfId="5617" builtinId="9" hidden="1"/>
    <cellStyle name="Followed Hyperlink" xfId="5619" builtinId="9" hidden="1"/>
    <cellStyle name="Followed Hyperlink" xfId="5621" builtinId="9" hidden="1"/>
    <cellStyle name="Followed Hyperlink" xfId="5623" builtinId="9" hidden="1"/>
    <cellStyle name="Followed Hyperlink" xfId="5625" builtinId="9" hidden="1"/>
    <cellStyle name="Followed Hyperlink" xfId="5627" builtinId="9" hidden="1"/>
    <cellStyle name="Followed Hyperlink" xfId="5629" builtinId="9" hidden="1"/>
    <cellStyle name="Followed Hyperlink" xfId="5631" builtinId="9" hidden="1"/>
    <cellStyle name="Followed Hyperlink" xfId="5633" builtinId="9" hidden="1"/>
    <cellStyle name="Followed Hyperlink" xfId="5635" builtinId="9" hidden="1"/>
    <cellStyle name="Followed Hyperlink" xfId="5637" builtinId="9" hidden="1"/>
    <cellStyle name="Followed Hyperlink" xfId="5639" builtinId="9" hidden="1"/>
    <cellStyle name="Followed Hyperlink" xfId="5641" builtinId="9" hidden="1"/>
    <cellStyle name="Followed Hyperlink" xfId="5643" builtinId="9" hidden="1"/>
    <cellStyle name="Followed Hyperlink" xfId="5645" builtinId="9" hidden="1"/>
    <cellStyle name="Followed Hyperlink" xfId="5647" builtinId="9" hidden="1"/>
    <cellStyle name="Followed Hyperlink" xfId="5649" builtinId="9" hidden="1"/>
    <cellStyle name="Followed Hyperlink" xfId="5651" builtinId="9" hidden="1"/>
    <cellStyle name="Followed Hyperlink" xfId="5653" builtinId="9" hidden="1"/>
    <cellStyle name="Followed Hyperlink" xfId="5655" builtinId="9" hidden="1"/>
    <cellStyle name="Followed Hyperlink" xfId="5657" builtinId="9" hidden="1"/>
    <cellStyle name="Followed Hyperlink" xfId="5659" builtinId="9" hidden="1"/>
    <cellStyle name="Followed Hyperlink" xfId="5661" builtinId="9" hidden="1"/>
    <cellStyle name="Followed Hyperlink" xfId="5663" builtinId="9" hidden="1"/>
    <cellStyle name="Followed Hyperlink" xfId="5665" builtinId="9" hidden="1"/>
    <cellStyle name="Followed Hyperlink" xfId="5667" builtinId="9" hidden="1"/>
    <cellStyle name="Followed Hyperlink" xfId="5669" builtinId="9" hidden="1"/>
    <cellStyle name="Followed Hyperlink" xfId="5671" builtinId="9" hidden="1"/>
    <cellStyle name="Followed Hyperlink" xfId="5673" builtinId="9" hidden="1"/>
    <cellStyle name="Followed Hyperlink" xfId="5675" builtinId="9" hidden="1"/>
    <cellStyle name="Followed Hyperlink" xfId="5677" builtinId="9" hidden="1"/>
    <cellStyle name="Followed Hyperlink" xfId="5679" builtinId="9" hidden="1"/>
    <cellStyle name="Followed Hyperlink" xfId="5681" builtinId="9" hidden="1"/>
    <cellStyle name="Followed Hyperlink" xfId="5683" builtinId="9" hidden="1"/>
    <cellStyle name="Followed Hyperlink" xfId="5685" builtinId="9" hidden="1"/>
    <cellStyle name="Followed Hyperlink" xfId="5687" builtinId="9" hidden="1"/>
    <cellStyle name="Followed Hyperlink" xfId="5689" builtinId="9" hidden="1"/>
    <cellStyle name="Followed Hyperlink" xfId="5691" builtinId="9" hidden="1"/>
    <cellStyle name="Followed Hyperlink" xfId="5693" builtinId="9" hidden="1"/>
    <cellStyle name="Followed Hyperlink" xfId="5695" builtinId="9" hidden="1"/>
    <cellStyle name="Followed Hyperlink" xfId="5697" builtinId="9" hidden="1"/>
    <cellStyle name="Followed Hyperlink" xfId="5699" builtinId="9" hidden="1"/>
    <cellStyle name="Followed Hyperlink" xfId="5701" builtinId="9" hidden="1"/>
    <cellStyle name="Followed Hyperlink" xfId="5703" builtinId="9" hidden="1"/>
    <cellStyle name="Followed Hyperlink" xfId="5705" builtinId="9" hidden="1"/>
    <cellStyle name="Followed Hyperlink" xfId="5707" builtinId="9" hidden="1"/>
    <cellStyle name="Followed Hyperlink" xfId="5709" builtinId="9" hidden="1"/>
    <cellStyle name="Followed Hyperlink" xfId="5711" builtinId="9" hidden="1"/>
    <cellStyle name="Followed Hyperlink" xfId="5713" builtinId="9" hidden="1"/>
    <cellStyle name="Followed Hyperlink" xfId="5715" builtinId="9" hidden="1"/>
    <cellStyle name="Followed Hyperlink" xfId="5717" builtinId="9" hidden="1"/>
    <cellStyle name="Followed Hyperlink" xfId="5719" builtinId="9" hidden="1"/>
    <cellStyle name="Followed Hyperlink" xfId="5721" builtinId="9" hidden="1"/>
    <cellStyle name="Followed Hyperlink" xfId="5723" builtinId="9" hidden="1"/>
    <cellStyle name="Followed Hyperlink" xfId="5725" builtinId="9" hidden="1"/>
    <cellStyle name="Followed Hyperlink" xfId="5727" builtinId="9" hidden="1"/>
    <cellStyle name="Followed Hyperlink" xfId="5729" builtinId="9" hidden="1"/>
    <cellStyle name="Followed Hyperlink" xfId="5731" builtinId="9" hidden="1"/>
    <cellStyle name="Followed Hyperlink" xfId="5733" builtinId="9" hidden="1"/>
    <cellStyle name="Followed Hyperlink" xfId="5735" builtinId="9" hidden="1"/>
    <cellStyle name="Followed Hyperlink" xfId="5737" builtinId="9" hidden="1"/>
    <cellStyle name="Followed Hyperlink" xfId="5739" builtinId="9" hidden="1"/>
    <cellStyle name="Followed Hyperlink" xfId="5741" builtinId="9" hidden="1"/>
    <cellStyle name="Followed Hyperlink" xfId="5743" builtinId="9" hidden="1"/>
    <cellStyle name="Followed Hyperlink" xfId="5745" builtinId="9" hidden="1"/>
    <cellStyle name="Followed Hyperlink" xfId="5747" builtinId="9" hidden="1"/>
    <cellStyle name="Followed Hyperlink" xfId="5749" builtinId="9" hidden="1"/>
    <cellStyle name="Followed Hyperlink" xfId="5751" builtinId="9" hidden="1"/>
    <cellStyle name="Followed Hyperlink" xfId="5753" builtinId="9" hidden="1"/>
    <cellStyle name="Followed Hyperlink" xfId="5755" builtinId="9" hidden="1"/>
    <cellStyle name="Followed Hyperlink" xfId="5757" builtinId="9" hidden="1"/>
    <cellStyle name="Followed Hyperlink" xfId="5759" builtinId="9" hidden="1"/>
    <cellStyle name="Followed Hyperlink" xfId="5761" builtinId="9" hidden="1"/>
    <cellStyle name="Followed Hyperlink" xfId="5763" builtinId="9" hidden="1"/>
    <cellStyle name="Followed Hyperlink" xfId="5765" builtinId="9" hidden="1"/>
    <cellStyle name="Followed Hyperlink" xfId="5767" builtinId="9" hidden="1"/>
    <cellStyle name="Followed Hyperlink" xfId="5769" builtinId="9" hidden="1"/>
    <cellStyle name="Followed Hyperlink" xfId="5771" builtinId="9" hidden="1"/>
    <cellStyle name="Followed Hyperlink" xfId="5773" builtinId="9" hidden="1"/>
    <cellStyle name="Followed Hyperlink" xfId="5775" builtinId="9" hidden="1"/>
    <cellStyle name="Followed Hyperlink" xfId="5777" builtinId="9" hidden="1"/>
    <cellStyle name="Followed Hyperlink" xfId="5779" builtinId="9" hidden="1"/>
    <cellStyle name="Followed Hyperlink" xfId="5781" builtinId="9" hidden="1"/>
    <cellStyle name="Followed Hyperlink" xfId="5783" builtinId="9" hidden="1"/>
    <cellStyle name="Followed Hyperlink" xfId="5785" builtinId="9" hidden="1"/>
    <cellStyle name="Followed Hyperlink" xfId="5787" builtinId="9" hidden="1"/>
    <cellStyle name="Followed Hyperlink" xfId="5789" builtinId="9" hidden="1"/>
    <cellStyle name="Followed Hyperlink" xfId="5791" builtinId="9" hidden="1"/>
    <cellStyle name="Followed Hyperlink" xfId="5793" builtinId="9" hidden="1"/>
    <cellStyle name="Followed Hyperlink" xfId="5795" builtinId="9" hidden="1"/>
    <cellStyle name="Followed Hyperlink" xfId="5797" builtinId="9" hidden="1"/>
    <cellStyle name="Followed Hyperlink" xfId="5799" builtinId="9" hidden="1"/>
    <cellStyle name="Followed Hyperlink" xfId="5801" builtinId="9" hidden="1"/>
    <cellStyle name="Followed Hyperlink" xfId="5803" builtinId="9" hidden="1"/>
    <cellStyle name="Followed Hyperlink" xfId="5805" builtinId="9" hidden="1"/>
    <cellStyle name="Followed Hyperlink" xfId="5807" builtinId="9" hidden="1"/>
    <cellStyle name="Followed Hyperlink" xfId="5809" builtinId="9" hidden="1"/>
    <cellStyle name="Followed Hyperlink" xfId="5811" builtinId="9" hidden="1"/>
    <cellStyle name="Followed Hyperlink" xfId="5813" builtinId="9" hidden="1"/>
    <cellStyle name="Followed Hyperlink" xfId="5815" builtinId="9" hidden="1"/>
    <cellStyle name="Followed Hyperlink" xfId="5817" builtinId="9" hidden="1"/>
    <cellStyle name="Followed Hyperlink" xfId="5819" builtinId="9" hidden="1"/>
    <cellStyle name="Followed Hyperlink" xfId="5821" builtinId="9" hidden="1"/>
    <cellStyle name="Followed Hyperlink" xfId="5823" builtinId="9" hidden="1"/>
    <cellStyle name="Followed Hyperlink" xfId="5825" builtinId="9" hidden="1"/>
    <cellStyle name="Followed Hyperlink" xfId="5827" builtinId="9" hidden="1"/>
    <cellStyle name="Followed Hyperlink" xfId="5829" builtinId="9" hidden="1"/>
    <cellStyle name="Followed Hyperlink" xfId="5831" builtinId="9" hidden="1"/>
    <cellStyle name="Followed Hyperlink" xfId="5833" builtinId="9" hidden="1"/>
    <cellStyle name="Followed Hyperlink" xfId="5835" builtinId="9" hidden="1"/>
    <cellStyle name="Followed Hyperlink" xfId="5837" builtinId="9" hidden="1"/>
    <cellStyle name="Followed Hyperlink" xfId="5839" builtinId="9" hidden="1"/>
    <cellStyle name="Followed Hyperlink" xfId="5841" builtinId="9" hidden="1"/>
    <cellStyle name="Followed Hyperlink" xfId="5843" builtinId="9" hidden="1"/>
    <cellStyle name="Followed Hyperlink" xfId="5845" builtinId="9" hidden="1"/>
    <cellStyle name="Followed Hyperlink" xfId="5847" builtinId="9" hidden="1"/>
    <cellStyle name="Followed Hyperlink" xfId="5849" builtinId="9" hidden="1"/>
    <cellStyle name="Followed Hyperlink" xfId="5851" builtinId="9" hidden="1"/>
    <cellStyle name="Followed Hyperlink" xfId="5853" builtinId="9" hidden="1"/>
    <cellStyle name="Followed Hyperlink" xfId="5855" builtinId="9" hidden="1"/>
    <cellStyle name="Followed Hyperlink" xfId="5857" builtinId="9" hidden="1"/>
    <cellStyle name="Followed Hyperlink" xfId="5859" builtinId="9" hidden="1"/>
    <cellStyle name="Followed Hyperlink" xfId="5861" builtinId="9" hidden="1"/>
    <cellStyle name="Followed Hyperlink" xfId="5863" builtinId="9" hidden="1"/>
    <cellStyle name="Followed Hyperlink" xfId="5865" builtinId="9" hidden="1"/>
    <cellStyle name="Followed Hyperlink" xfId="5867" builtinId="9" hidden="1"/>
    <cellStyle name="Followed Hyperlink" xfId="5869" builtinId="9" hidden="1"/>
    <cellStyle name="Followed Hyperlink" xfId="5871" builtinId="9" hidden="1"/>
    <cellStyle name="Followed Hyperlink" xfId="5873" builtinId="9" hidden="1"/>
    <cellStyle name="Followed Hyperlink" xfId="5875" builtinId="9" hidden="1"/>
    <cellStyle name="Followed Hyperlink" xfId="5877" builtinId="9" hidden="1"/>
    <cellStyle name="Followed Hyperlink" xfId="5879" builtinId="9" hidden="1"/>
    <cellStyle name="Followed Hyperlink" xfId="5881" builtinId="9" hidden="1"/>
    <cellStyle name="Followed Hyperlink" xfId="5883" builtinId="9" hidden="1"/>
    <cellStyle name="Followed Hyperlink" xfId="5885" builtinId="9" hidden="1"/>
    <cellStyle name="Followed Hyperlink" xfId="5887" builtinId="9" hidden="1"/>
    <cellStyle name="Followed Hyperlink" xfId="5889" builtinId="9" hidden="1"/>
    <cellStyle name="Followed Hyperlink" xfId="5891" builtinId="9" hidden="1"/>
    <cellStyle name="Followed Hyperlink" xfId="5893" builtinId="9" hidden="1"/>
    <cellStyle name="Followed Hyperlink" xfId="5895" builtinId="9" hidden="1"/>
    <cellStyle name="Followed Hyperlink" xfId="5897" builtinId="9" hidden="1"/>
    <cellStyle name="Followed Hyperlink" xfId="5899" builtinId="9" hidden="1"/>
    <cellStyle name="Followed Hyperlink" xfId="5901" builtinId="9" hidden="1"/>
    <cellStyle name="Followed Hyperlink" xfId="5903" builtinId="9" hidden="1"/>
    <cellStyle name="Followed Hyperlink" xfId="5905" builtinId="9" hidden="1"/>
    <cellStyle name="Followed Hyperlink" xfId="5907" builtinId="9" hidden="1"/>
    <cellStyle name="Followed Hyperlink" xfId="5909" builtinId="9" hidden="1"/>
    <cellStyle name="Followed Hyperlink" xfId="5911" builtinId="9" hidden="1"/>
    <cellStyle name="Followed Hyperlink" xfId="5913" builtinId="9" hidden="1"/>
    <cellStyle name="Followed Hyperlink" xfId="5915" builtinId="9" hidden="1"/>
    <cellStyle name="Followed Hyperlink" xfId="5917" builtinId="9" hidden="1"/>
    <cellStyle name="Followed Hyperlink" xfId="5919" builtinId="9" hidden="1"/>
    <cellStyle name="Followed Hyperlink" xfId="5921" builtinId="9" hidden="1"/>
    <cellStyle name="Followed Hyperlink" xfId="5923" builtinId="9" hidden="1"/>
    <cellStyle name="Followed Hyperlink" xfId="5925" builtinId="9" hidden="1"/>
    <cellStyle name="Followed Hyperlink" xfId="5927" builtinId="9" hidden="1"/>
    <cellStyle name="Followed Hyperlink" xfId="5929" builtinId="9" hidden="1"/>
    <cellStyle name="Followed Hyperlink" xfId="5931" builtinId="9" hidden="1"/>
    <cellStyle name="Followed Hyperlink" xfId="5933" builtinId="9" hidden="1"/>
    <cellStyle name="Followed Hyperlink" xfId="5935" builtinId="9" hidden="1"/>
    <cellStyle name="Followed Hyperlink" xfId="5937" builtinId="9" hidden="1"/>
    <cellStyle name="Followed Hyperlink" xfId="5939" builtinId="9" hidden="1"/>
    <cellStyle name="Followed Hyperlink" xfId="5941" builtinId="9" hidden="1"/>
    <cellStyle name="Followed Hyperlink" xfId="5943" builtinId="9" hidden="1"/>
    <cellStyle name="Followed Hyperlink" xfId="5945" builtinId="9" hidden="1"/>
    <cellStyle name="Followed Hyperlink" xfId="5947" builtinId="9" hidden="1"/>
    <cellStyle name="Followed Hyperlink" xfId="5949" builtinId="9" hidden="1"/>
    <cellStyle name="Followed Hyperlink" xfId="5951" builtinId="9" hidden="1"/>
    <cellStyle name="Followed Hyperlink" xfId="5953" builtinId="9" hidden="1"/>
    <cellStyle name="Followed Hyperlink" xfId="5955" builtinId="9" hidden="1"/>
    <cellStyle name="Followed Hyperlink" xfId="5957" builtinId="9" hidden="1"/>
    <cellStyle name="Followed Hyperlink" xfId="5959" builtinId="9" hidden="1"/>
    <cellStyle name="Followed Hyperlink" xfId="5961" builtinId="9" hidden="1"/>
    <cellStyle name="Followed Hyperlink" xfId="5963" builtinId="9" hidden="1"/>
    <cellStyle name="Followed Hyperlink" xfId="5965" builtinId="9" hidden="1"/>
    <cellStyle name="Followed Hyperlink" xfId="5967" builtinId="9" hidden="1"/>
    <cellStyle name="Followed Hyperlink" xfId="5969" builtinId="9" hidden="1"/>
    <cellStyle name="Followed Hyperlink" xfId="5971" builtinId="9" hidden="1"/>
    <cellStyle name="Followed Hyperlink" xfId="5973" builtinId="9" hidden="1"/>
    <cellStyle name="Followed Hyperlink" xfId="5975" builtinId="9" hidden="1"/>
    <cellStyle name="Followed Hyperlink" xfId="5977" builtinId="9" hidden="1"/>
    <cellStyle name="Followed Hyperlink" xfId="5979" builtinId="9" hidden="1"/>
    <cellStyle name="Followed Hyperlink" xfId="5981" builtinId="9" hidden="1"/>
    <cellStyle name="Followed Hyperlink" xfId="5983" builtinId="9" hidden="1"/>
    <cellStyle name="Followed Hyperlink" xfId="5985" builtinId="9" hidden="1"/>
    <cellStyle name="Followed Hyperlink" xfId="5987" builtinId="9" hidden="1"/>
    <cellStyle name="Followed Hyperlink" xfId="5989" builtinId="9" hidden="1"/>
    <cellStyle name="Followed Hyperlink" xfId="5991" builtinId="9" hidden="1"/>
    <cellStyle name="Followed Hyperlink" xfId="5993" builtinId="9" hidden="1"/>
    <cellStyle name="Followed Hyperlink" xfId="5995" builtinId="9" hidden="1"/>
    <cellStyle name="Followed Hyperlink" xfId="5997" builtinId="9" hidden="1"/>
    <cellStyle name="Followed Hyperlink" xfId="5999" builtinId="9" hidden="1"/>
    <cellStyle name="Followed Hyperlink" xfId="6001" builtinId="9" hidden="1"/>
    <cellStyle name="Followed Hyperlink" xfId="6003" builtinId="9" hidden="1"/>
    <cellStyle name="Followed Hyperlink" xfId="6005" builtinId="9" hidden="1"/>
    <cellStyle name="Followed Hyperlink" xfId="6007" builtinId="9" hidden="1"/>
    <cellStyle name="Followed Hyperlink" xfId="6009" builtinId="9" hidden="1"/>
    <cellStyle name="Followed Hyperlink" xfId="6011" builtinId="9" hidden="1"/>
    <cellStyle name="Followed Hyperlink" xfId="6013" builtinId="9" hidden="1"/>
    <cellStyle name="Followed Hyperlink" xfId="6015" builtinId="9" hidden="1"/>
    <cellStyle name="Followed Hyperlink" xfId="6017" builtinId="9" hidden="1"/>
    <cellStyle name="Followed Hyperlink" xfId="6019" builtinId="9" hidden="1"/>
    <cellStyle name="Followed Hyperlink" xfId="6021" builtinId="9" hidden="1"/>
    <cellStyle name="Followed Hyperlink" xfId="6023" builtinId="9" hidden="1"/>
    <cellStyle name="Followed Hyperlink" xfId="6025" builtinId="9" hidden="1"/>
    <cellStyle name="Followed Hyperlink" xfId="6027" builtinId="9" hidden="1"/>
    <cellStyle name="Followed Hyperlink" xfId="6029" builtinId="9" hidden="1"/>
    <cellStyle name="Followed Hyperlink" xfId="6031" builtinId="9" hidden="1"/>
    <cellStyle name="Followed Hyperlink" xfId="6033" builtinId="9" hidden="1"/>
    <cellStyle name="Followed Hyperlink" xfId="6035" builtinId="9" hidden="1"/>
    <cellStyle name="Followed Hyperlink" xfId="6037" builtinId="9" hidden="1"/>
    <cellStyle name="Followed Hyperlink" xfId="6039" builtinId="9" hidden="1"/>
    <cellStyle name="Followed Hyperlink" xfId="6041" builtinId="9" hidden="1"/>
    <cellStyle name="Followed Hyperlink" xfId="6043" builtinId="9" hidden="1"/>
    <cellStyle name="Followed Hyperlink" xfId="6045" builtinId="9" hidden="1"/>
    <cellStyle name="Followed Hyperlink" xfId="6047" builtinId="9" hidden="1"/>
    <cellStyle name="Followed Hyperlink" xfId="6049" builtinId="9" hidden="1"/>
    <cellStyle name="Followed Hyperlink" xfId="6051" builtinId="9" hidden="1"/>
    <cellStyle name="Followed Hyperlink" xfId="6053" builtinId="9" hidden="1"/>
    <cellStyle name="Followed Hyperlink" xfId="6055" builtinId="9" hidden="1"/>
    <cellStyle name="Followed Hyperlink" xfId="6057" builtinId="9" hidden="1"/>
    <cellStyle name="Followed Hyperlink" xfId="6059" builtinId="9" hidden="1"/>
    <cellStyle name="Followed Hyperlink" xfId="6061" builtinId="9" hidden="1"/>
    <cellStyle name="Followed Hyperlink" xfId="6063" builtinId="9" hidden="1"/>
    <cellStyle name="Followed Hyperlink" xfId="6065" builtinId="9" hidden="1"/>
    <cellStyle name="Followed Hyperlink" xfId="6067" builtinId="9" hidden="1"/>
    <cellStyle name="Followed Hyperlink" xfId="6069" builtinId="9" hidden="1"/>
    <cellStyle name="Followed Hyperlink" xfId="6071" builtinId="9" hidden="1"/>
    <cellStyle name="Followed Hyperlink" xfId="6073" builtinId="9" hidden="1"/>
    <cellStyle name="Followed Hyperlink" xfId="6075" builtinId="9" hidden="1"/>
    <cellStyle name="Followed Hyperlink" xfId="6077" builtinId="9" hidden="1"/>
    <cellStyle name="Followed Hyperlink" xfId="6079" builtinId="9" hidden="1"/>
    <cellStyle name="Followed Hyperlink" xfId="6081" builtinId="9" hidden="1"/>
    <cellStyle name="Followed Hyperlink" xfId="6083" builtinId="9" hidden="1"/>
    <cellStyle name="Followed Hyperlink" xfId="6085" builtinId="9" hidden="1"/>
    <cellStyle name="Followed Hyperlink" xfId="6087" builtinId="9" hidden="1"/>
    <cellStyle name="Followed Hyperlink" xfId="6089" builtinId="9" hidden="1"/>
    <cellStyle name="Followed Hyperlink" xfId="6091" builtinId="9" hidden="1"/>
    <cellStyle name="Followed Hyperlink" xfId="6093" builtinId="9" hidden="1"/>
    <cellStyle name="Followed Hyperlink" xfId="6095" builtinId="9" hidden="1"/>
    <cellStyle name="Followed Hyperlink" xfId="6097" builtinId="9" hidden="1"/>
    <cellStyle name="Followed Hyperlink" xfId="6099" builtinId="9" hidden="1"/>
    <cellStyle name="Followed Hyperlink" xfId="6101" builtinId="9" hidden="1"/>
    <cellStyle name="Followed Hyperlink" xfId="6103" builtinId="9" hidden="1"/>
    <cellStyle name="Followed Hyperlink" xfId="6105" builtinId="9" hidden="1"/>
    <cellStyle name="Followed Hyperlink" xfId="6107" builtinId="9" hidden="1"/>
    <cellStyle name="Followed Hyperlink" xfId="6109" builtinId="9" hidden="1"/>
    <cellStyle name="Followed Hyperlink" xfId="6111" builtinId="9" hidden="1"/>
    <cellStyle name="Followed Hyperlink" xfId="6113" builtinId="9" hidden="1"/>
    <cellStyle name="Followed Hyperlink" xfId="6115" builtinId="9" hidden="1"/>
    <cellStyle name="Followed Hyperlink" xfId="6117" builtinId="9" hidden="1"/>
    <cellStyle name="Followed Hyperlink" xfId="6119" builtinId="9" hidden="1"/>
    <cellStyle name="Followed Hyperlink" xfId="6121" builtinId="9" hidden="1"/>
    <cellStyle name="Followed Hyperlink" xfId="6123" builtinId="9" hidden="1"/>
    <cellStyle name="Followed Hyperlink" xfId="6125" builtinId="9" hidden="1"/>
    <cellStyle name="Followed Hyperlink" xfId="6127" builtinId="9" hidden="1"/>
    <cellStyle name="Followed Hyperlink" xfId="6129" builtinId="9" hidden="1"/>
    <cellStyle name="Followed Hyperlink" xfId="6131" builtinId="9" hidden="1"/>
    <cellStyle name="Followed Hyperlink" xfId="6133" builtinId="9" hidden="1"/>
    <cellStyle name="Followed Hyperlink" xfId="6135" builtinId="9" hidden="1"/>
    <cellStyle name="Followed Hyperlink" xfId="6137" builtinId="9" hidden="1"/>
    <cellStyle name="Followed Hyperlink" xfId="6139" builtinId="9" hidden="1"/>
    <cellStyle name="Followed Hyperlink" xfId="6141" builtinId="9" hidden="1"/>
    <cellStyle name="Followed Hyperlink" xfId="6143" builtinId="9" hidden="1"/>
    <cellStyle name="Followed Hyperlink" xfId="6145" builtinId="9" hidden="1"/>
    <cellStyle name="Followed Hyperlink" xfId="6147" builtinId="9" hidden="1"/>
    <cellStyle name="Followed Hyperlink" xfId="6149" builtinId="9" hidden="1"/>
    <cellStyle name="Followed Hyperlink" xfId="6151" builtinId="9" hidden="1"/>
    <cellStyle name="Followed Hyperlink" xfId="6153" builtinId="9" hidden="1"/>
    <cellStyle name="Followed Hyperlink" xfId="6155" builtinId="9" hidden="1"/>
    <cellStyle name="Followed Hyperlink" xfId="6157" builtinId="9" hidden="1"/>
    <cellStyle name="Followed Hyperlink" xfId="6159" builtinId="9" hidden="1"/>
    <cellStyle name="Followed Hyperlink" xfId="6161" builtinId="9" hidden="1"/>
    <cellStyle name="Followed Hyperlink" xfId="6163" builtinId="9" hidden="1"/>
    <cellStyle name="Followed Hyperlink" xfId="6165" builtinId="9" hidden="1"/>
    <cellStyle name="Followed Hyperlink" xfId="6167" builtinId="9" hidden="1"/>
    <cellStyle name="Followed Hyperlink" xfId="6169" builtinId="9" hidden="1"/>
    <cellStyle name="Followed Hyperlink" xfId="6171" builtinId="9" hidden="1"/>
    <cellStyle name="Followed Hyperlink" xfId="6173" builtinId="9" hidden="1"/>
    <cellStyle name="Followed Hyperlink" xfId="6175" builtinId="9" hidden="1"/>
    <cellStyle name="Followed Hyperlink" xfId="6177" builtinId="9" hidden="1"/>
    <cellStyle name="Followed Hyperlink" xfId="6179" builtinId="9" hidden="1"/>
    <cellStyle name="Followed Hyperlink" xfId="6181" builtinId="9" hidden="1"/>
    <cellStyle name="Followed Hyperlink" xfId="6183" builtinId="9" hidden="1"/>
    <cellStyle name="Followed Hyperlink" xfId="6185" builtinId="9" hidden="1"/>
    <cellStyle name="Followed Hyperlink" xfId="6187" builtinId="9" hidden="1"/>
    <cellStyle name="Followed Hyperlink" xfId="6189" builtinId="9" hidden="1"/>
    <cellStyle name="Followed Hyperlink" xfId="6191" builtinId="9" hidden="1"/>
    <cellStyle name="Followed Hyperlink" xfId="6193" builtinId="9" hidden="1"/>
    <cellStyle name="Followed Hyperlink" xfId="6195" builtinId="9" hidden="1"/>
    <cellStyle name="Followed Hyperlink" xfId="6197" builtinId="9" hidden="1"/>
    <cellStyle name="Followed Hyperlink" xfId="6199" builtinId="9" hidden="1"/>
    <cellStyle name="Followed Hyperlink" xfId="6201" builtinId="9" hidden="1"/>
    <cellStyle name="Followed Hyperlink" xfId="6203" builtinId="9" hidden="1"/>
    <cellStyle name="Followed Hyperlink" xfId="6205" builtinId="9" hidden="1"/>
    <cellStyle name="Followed Hyperlink" xfId="6207" builtinId="9" hidden="1"/>
    <cellStyle name="Followed Hyperlink" xfId="6209" builtinId="9" hidden="1"/>
    <cellStyle name="Followed Hyperlink" xfId="6211" builtinId="9" hidden="1"/>
    <cellStyle name="Followed Hyperlink" xfId="6213" builtinId="9" hidden="1"/>
    <cellStyle name="Followed Hyperlink" xfId="6215" builtinId="9" hidden="1"/>
    <cellStyle name="Followed Hyperlink" xfId="6217" builtinId="9" hidden="1"/>
    <cellStyle name="Followed Hyperlink" xfId="6219" builtinId="9" hidden="1"/>
    <cellStyle name="Followed Hyperlink" xfId="6221" builtinId="9" hidden="1"/>
    <cellStyle name="Followed Hyperlink" xfId="6223" builtinId="9" hidden="1"/>
    <cellStyle name="Followed Hyperlink" xfId="6225" builtinId="9" hidden="1"/>
    <cellStyle name="Followed Hyperlink" xfId="6227" builtinId="9" hidden="1"/>
    <cellStyle name="Followed Hyperlink" xfId="6229" builtinId="9" hidden="1"/>
    <cellStyle name="Followed Hyperlink" xfId="6231" builtinId="9" hidden="1"/>
    <cellStyle name="Followed Hyperlink" xfId="6233" builtinId="9" hidden="1"/>
    <cellStyle name="Followed Hyperlink" xfId="6235" builtinId="9" hidden="1"/>
    <cellStyle name="Followed Hyperlink" xfId="6237" builtinId="9" hidden="1"/>
    <cellStyle name="Followed Hyperlink" xfId="6239" builtinId="9" hidden="1"/>
    <cellStyle name="Followed Hyperlink" xfId="6241" builtinId="9" hidden="1"/>
    <cellStyle name="Followed Hyperlink" xfId="6243" builtinId="9" hidden="1"/>
    <cellStyle name="Followed Hyperlink" xfId="6245" builtinId="9" hidden="1"/>
    <cellStyle name="Followed Hyperlink" xfId="6247" builtinId="9" hidden="1"/>
    <cellStyle name="Followed Hyperlink" xfId="6249" builtinId="9" hidden="1"/>
    <cellStyle name="Followed Hyperlink" xfId="6251" builtinId="9" hidden="1"/>
    <cellStyle name="Followed Hyperlink" xfId="6253" builtinId="9" hidden="1"/>
    <cellStyle name="Followed Hyperlink" xfId="6255" builtinId="9" hidden="1"/>
    <cellStyle name="Followed Hyperlink" xfId="6257" builtinId="9" hidden="1"/>
    <cellStyle name="Followed Hyperlink" xfId="6259" builtinId="9" hidden="1"/>
    <cellStyle name="Followed Hyperlink" xfId="6261" builtinId="9" hidden="1"/>
    <cellStyle name="Followed Hyperlink" xfId="6263" builtinId="9" hidden="1"/>
    <cellStyle name="Followed Hyperlink" xfId="6265" builtinId="9" hidden="1"/>
    <cellStyle name="Followed Hyperlink" xfId="6267" builtinId="9" hidden="1"/>
    <cellStyle name="Followed Hyperlink" xfId="6269" builtinId="9" hidden="1"/>
    <cellStyle name="Followed Hyperlink" xfId="6271" builtinId="9" hidden="1"/>
    <cellStyle name="Followed Hyperlink" xfId="6273" builtinId="9" hidden="1"/>
    <cellStyle name="Followed Hyperlink" xfId="6275" builtinId="9" hidden="1"/>
    <cellStyle name="Followed Hyperlink" xfId="6277" builtinId="9" hidden="1"/>
    <cellStyle name="Followed Hyperlink" xfId="6279" builtinId="9" hidden="1"/>
    <cellStyle name="Followed Hyperlink" xfId="6281" builtinId="9" hidden="1"/>
    <cellStyle name="Followed Hyperlink" xfId="6283" builtinId="9" hidden="1"/>
    <cellStyle name="Followed Hyperlink" xfId="6285" builtinId="9" hidden="1"/>
    <cellStyle name="Followed Hyperlink" xfId="6287" builtinId="9" hidden="1"/>
    <cellStyle name="Followed Hyperlink" xfId="6289" builtinId="9" hidden="1"/>
    <cellStyle name="Followed Hyperlink" xfId="6291" builtinId="9" hidden="1"/>
    <cellStyle name="Followed Hyperlink" xfId="6293" builtinId="9" hidden="1"/>
    <cellStyle name="Followed Hyperlink" xfId="6295" builtinId="9" hidden="1"/>
    <cellStyle name="Followed Hyperlink" xfId="6297" builtinId="9" hidden="1"/>
    <cellStyle name="Followed Hyperlink" xfId="6299" builtinId="9" hidden="1"/>
    <cellStyle name="Followed Hyperlink" xfId="6301" builtinId="9" hidden="1"/>
    <cellStyle name="Followed Hyperlink" xfId="6303" builtinId="9" hidden="1"/>
    <cellStyle name="Followed Hyperlink" xfId="6305" builtinId="9" hidden="1"/>
    <cellStyle name="Followed Hyperlink" xfId="6307" builtinId="9" hidden="1"/>
    <cellStyle name="Followed Hyperlink" xfId="6309" builtinId="9" hidden="1"/>
    <cellStyle name="Followed Hyperlink" xfId="6311" builtinId="9" hidden="1"/>
    <cellStyle name="Followed Hyperlink" xfId="6313" builtinId="9" hidden="1"/>
    <cellStyle name="Followed Hyperlink" xfId="6315" builtinId="9" hidden="1"/>
    <cellStyle name="Followed Hyperlink" xfId="6317" builtinId="9" hidden="1"/>
    <cellStyle name="Followed Hyperlink" xfId="6319" builtinId="9" hidden="1"/>
    <cellStyle name="Followed Hyperlink" xfId="6321" builtinId="9" hidden="1"/>
    <cellStyle name="Followed Hyperlink" xfId="6323" builtinId="9" hidden="1"/>
    <cellStyle name="Followed Hyperlink" xfId="6325" builtinId="9" hidden="1"/>
    <cellStyle name="Followed Hyperlink" xfId="6327" builtinId="9" hidden="1"/>
    <cellStyle name="Followed Hyperlink" xfId="6329" builtinId="9" hidden="1"/>
    <cellStyle name="Followed Hyperlink" xfId="6331" builtinId="9" hidden="1"/>
    <cellStyle name="Followed Hyperlink" xfId="6333" builtinId="9" hidden="1"/>
    <cellStyle name="Followed Hyperlink" xfId="6335" builtinId="9" hidden="1"/>
    <cellStyle name="Followed Hyperlink" xfId="6337" builtinId="9" hidden="1"/>
    <cellStyle name="Followed Hyperlink" xfId="6339" builtinId="9" hidden="1"/>
    <cellStyle name="Followed Hyperlink" xfId="6341" builtinId="9" hidden="1"/>
    <cellStyle name="Followed Hyperlink" xfId="6343" builtinId="9" hidden="1"/>
    <cellStyle name="Followed Hyperlink" xfId="6345" builtinId="9" hidden="1"/>
    <cellStyle name="Followed Hyperlink" xfId="6347" builtinId="9" hidden="1"/>
    <cellStyle name="Followed Hyperlink" xfId="6349" builtinId="9" hidden="1"/>
    <cellStyle name="Followed Hyperlink" xfId="6351" builtinId="9" hidden="1"/>
    <cellStyle name="Followed Hyperlink" xfId="6353" builtinId="9" hidden="1"/>
    <cellStyle name="Followed Hyperlink" xfId="6355" builtinId="9" hidden="1"/>
    <cellStyle name="Followed Hyperlink" xfId="6357" builtinId="9" hidden="1"/>
    <cellStyle name="Followed Hyperlink" xfId="6359" builtinId="9" hidden="1"/>
    <cellStyle name="Followed Hyperlink" xfId="6361" builtinId="9" hidden="1"/>
    <cellStyle name="Followed Hyperlink" xfId="6363" builtinId="9" hidden="1"/>
    <cellStyle name="Followed Hyperlink" xfId="6365" builtinId="9" hidden="1"/>
    <cellStyle name="Followed Hyperlink" xfId="6367" builtinId="9" hidden="1"/>
    <cellStyle name="Followed Hyperlink" xfId="6369" builtinId="9" hidden="1"/>
    <cellStyle name="Followed Hyperlink" xfId="6371" builtinId="9" hidden="1"/>
    <cellStyle name="Followed Hyperlink" xfId="6373" builtinId="9" hidden="1"/>
    <cellStyle name="Followed Hyperlink" xfId="6375" builtinId="9" hidden="1"/>
    <cellStyle name="Followed Hyperlink" xfId="6377" builtinId="9" hidden="1"/>
    <cellStyle name="Followed Hyperlink" xfId="6379" builtinId="9" hidden="1"/>
    <cellStyle name="Followed Hyperlink" xfId="6381" builtinId="9" hidden="1"/>
    <cellStyle name="Followed Hyperlink" xfId="6383" builtinId="9" hidden="1"/>
    <cellStyle name="Followed Hyperlink" xfId="6385" builtinId="9" hidden="1"/>
    <cellStyle name="Followed Hyperlink" xfId="6387" builtinId="9" hidden="1"/>
    <cellStyle name="Followed Hyperlink" xfId="6389" builtinId="9" hidden="1"/>
    <cellStyle name="Followed Hyperlink" xfId="6391" builtinId="9" hidden="1"/>
    <cellStyle name="Followed Hyperlink" xfId="6393" builtinId="9" hidden="1"/>
    <cellStyle name="Followed Hyperlink" xfId="6395" builtinId="9" hidden="1"/>
    <cellStyle name="Followed Hyperlink" xfId="6397" builtinId="9" hidden="1"/>
    <cellStyle name="Followed Hyperlink" xfId="6399" builtinId="9" hidden="1"/>
    <cellStyle name="Followed Hyperlink" xfId="6401" builtinId="9" hidden="1"/>
    <cellStyle name="Followed Hyperlink" xfId="6403" builtinId="9" hidden="1"/>
    <cellStyle name="Followed Hyperlink" xfId="6405" builtinId="9" hidden="1"/>
    <cellStyle name="Followed Hyperlink" xfId="6407" builtinId="9" hidden="1"/>
    <cellStyle name="Followed Hyperlink" xfId="6409" builtinId="9" hidden="1"/>
    <cellStyle name="Followed Hyperlink" xfId="6411" builtinId="9" hidden="1"/>
    <cellStyle name="Followed Hyperlink" xfId="6413" builtinId="9" hidden="1"/>
    <cellStyle name="Followed Hyperlink" xfId="6415" builtinId="9" hidden="1"/>
    <cellStyle name="Followed Hyperlink" xfId="6417" builtinId="9" hidden="1"/>
    <cellStyle name="Followed Hyperlink" xfId="6419" builtinId="9" hidden="1"/>
    <cellStyle name="Followed Hyperlink" xfId="6421" builtinId="9" hidden="1"/>
    <cellStyle name="Followed Hyperlink" xfId="6423" builtinId="9" hidden="1"/>
    <cellStyle name="Followed Hyperlink" xfId="6425" builtinId="9" hidden="1"/>
    <cellStyle name="Followed Hyperlink" xfId="6427" builtinId="9" hidden="1"/>
    <cellStyle name="Followed Hyperlink" xfId="6429" builtinId="9" hidden="1"/>
    <cellStyle name="Followed Hyperlink" xfId="6431" builtinId="9" hidden="1"/>
    <cellStyle name="Followed Hyperlink" xfId="6433" builtinId="9" hidden="1"/>
    <cellStyle name="Followed Hyperlink" xfId="6435" builtinId="9" hidden="1"/>
    <cellStyle name="Followed Hyperlink" xfId="6437" builtinId="9" hidden="1"/>
    <cellStyle name="Followed Hyperlink" xfId="6439" builtinId="9" hidden="1"/>
    <cellStyle name="Followed Hyperlink" xfId="6441" builtinId="9" hidden="1"/>
    <cellStyle name="Followed Hyperlink" xfId="6443" builtinId="9" hidden="1"/>
    <cellStyle name="Followed Hyperlink" xfId="6445" builtinId="9" hidden="1"/>
    <cellStyle name="Followed Hyperlink" xfId="6447" builtinId="9" hidden="1"/>
    <cellStyle name="Followed Hyperlink" xfId="6449" builtinId="9" hidden="1"/>
    <cellStyle name="Followed Hyperlink" xfId="6451" builtinId="9" hidden="1"/>
    <cellStyle name="Followed Hyperlink" xfId="6453" builtinId="9" hidden="1"/>
    <cellStyle name="Followed Hyperlink" xfId="6455" builtinId="9" hidden="1"/>
    <cellStyle name="Followed Hyperlink" xfId="6457" builtinId="9" hidden="1"/>
    <cellStyle name="Followed Hyperlink" xfId="6459" builtinId="9" hidden="1"/>
    <cellStyle name="Followed Hyperlink" xfId="6461" builtinId="9" hidden="1"/>
    <cellStyle name="Followed Hyperlink" xfId="6463" builtinId="9" hidden="1"/>
    <cellStyle name="Followed Hyperlink" xfId="6465" builtinId="9" hidden="1"/>
    <cellStyle name="Followed Hyperlink" xfId="6467" builtinId="9" hidden="1"/>
    <cellStyle name="Followed Hyperlink" xfId="6469" builtinId="9" hidden="1"/>
    <cellStyle name="Followed Hyperlink" xfId="6471" builtinId="9" hidden="1"/>
    <cellStyle name="Followed Hyperlink" xfId="6473" builtinId="9" hidden="1"/>
    <cellStyle name="Followed Hyperlink" xfId="6475" builtinId="9" hidden="1"/>
    <cellStyle name="Followed Hyperlink" xfId="6477" builtinId="9" hidden="1"/>
    <cellStyle name="Followed Hyperlink" xfId="6479" builtinId="9" hidden="1"/>
    <cellStyle name="Followed Hyperlink" xfId="6481" builtinId="9" hidden="1"/>
    <cellStyle name="Followed Hyperlink" xfId="6483" builtinId="9" hidden="1"/>
    <cellStyle name="Followed Hyperlink" xfId="6485" builtinId="9" hidden="1"/>
    <cellStyle name="Followed Hyperlink" xfId="6487" builtinId="9" hidden="1"/>
    <cellStyle name="Followed Hyperlink" xfId="6489" builtinId="9" hidden="1"/>
    <cellStyle name="Followed Hyperlink" xfId="6491" builtinId="9" hidden="1"/>
    <cellStyle name="Followed Hyperlink" xfId="6493" builtinId="9" hidden="1"/>
    <cellStyle name="Followed Hyperlink" xfId="6495" builtinId="9" hidden="1"/>
    <cellStyle name="Followed Hyperlink" xfId="6497" builtinId="9" hidden="1"/>
    <cellStyle name="Followed Hyperlink" xfId="6499" builtinId="9" hidden="1"/>
    <cellStyle name="Followed Hyperlink" xfId="6501" builtinId="9" hidden="1"/>
    <cellStyle name="Followed Hyperlink" xfId="6503" builtinId="9" hidden="1"/>
    <cellStyle name="Followed Hyperlink" xfId="6505" builtinId="9" hidden="1"/>
    <cellStyle name="Followed Hyperlink" xfId="6507" builtinId="9" hidden="1"/>
    <cellStyle name="Followed Hyperlink" xfId="6509" builtinId="9" hidden="1"/>
    <cellStyle name="Followed Hyperlink" xfId="6511" builtinId="9" hidden="1"/>
    <cellStyle name="Followed Hyperlink" xfId="6513" builtinId="9" hidden="1"/>
    <cellStyle name="Followed Hyperlink" xfId="6515" builtinId="9" hidden="1"/>
    <cellStyle name="Followed Hyperlink" xfId="6517" builtinId="9" hidden="1"/>
    <cellStyle name="Followed Hyperlink" xfId="6519" builtinId="9" hidden="1"/>
    <cellStyle name="Followed Hyperlink" xfId="6521" builtinId="9" hidden="1"/>
    <cellStyle name="Followed Hyperlink" xfId="6523" builtinId="9" hidden="1"/>
    <cellStyle name="Followed Hyperlink" xfId="6525" builtinId="9" hidden="1"/>
    <cellStyle name="Followed Hyperlink" xfId="6527" builtinId="9" hidden="1"/>
    <cellStyle name="Followed Hyperlink" xfId="6529" builtinId="9" hidden="1"/>
    <cellStyle name="Followed Hyperlink" xfId="6531" builtinId="9" hidden="1"/>
    <cellStyle name="Followed Hyperlink" xfId="6533" builtinId="9" hidden="1"/>
    <cellStyle name="Followed Hyperlink" xfId="6535" builtinId="9" hidden="1"/>
    <cellStyle name="Followed Hyperlink" xfId="6537" builtinId="9" hidden="1"/>
    <cellStyle name="Followed Hyperlink" xfId="6539" builtinId="9" hidden="1"/>
    <cellStyle name="Followed Hyperlink" xfId="6541" builtinId="9" hidden="1"/>
    <cellStyle name="Followed Hyperlink" xfId="6543" builtinId="9" hidden="1"/>
    <cellStyle name="Followed Hyperlink" xfId="6545" builtinId="9" hidden="1"/>
    <cellStyle name="Followed Hyperlink" xfId="6547" builtinId="9" hidden="1"/>
    <cellStyle name="Followed Hyperlink" xfId="6549" builtinId="9" hidden="1"/>
    <cellStyle name="Followed Hyperlink" xfId="6551" builtinId="9" hidden="1"/>
    <cellStyle name="Followed Hyperlink" xfId="6553" builtinId="9" hidden="1"/>
    <cellStyle name="Followed Hyperlink" xfId="6555" builtinId="9" hidden="1"/>
    <cellStyle name="Followed Hyperlink" xfId="6557" builtinId="9" hidden="1"/>
    <cellStyle name="Followed Hyperlink" xfId="6559" builtinId="9" hidden="1"/>
    <cellStyle name="Followed Hyperlink" xfId="6561" builtinId="9" hidden="1"/>
    <cellStyle name="Followed Hyperlink" xfId="6563" builtinId="9" hidden="1"/>
    <cellStyle name="Followed Hyperlink" xfId="6565" builtinId="9" hidden="1"/>
    <cellStyle name="Followed Hyperlink" xfId="6567" builtinId="9" hidden="1"/>
    <cellStyle name="Followed Hyperlink" xfId="6569" builtinId="9" hidden="1"/>
    <cellStyle name="Followed Hyperlink" xfId="6571" builtinId="9" hidden="1"/>
    <cellStyle name="Followed Hyperlink" xfId="6573" builtinId="9" hidden="1"/>
    <cellStyle name="Followed Hyperlink" xfId="6575" builtinId="9" hidden="1"/>
    <cellStyle name="Followed Hyperlink" xfId="6577" builtinId="9" hidden="1"/>
    <cellStyle name="Followed Hyperlink" xfId="6579" builtinId="9" hidden="1"/>
    <cellStyle name="Followed Hyperlink" xfId="6581" builtinId="9" hidden="1"/>
    <cellStyle name="Followed Hyperlink" xfId="6583" builtinId="9" hidden="1"/>
    <cellStyle name="Followed Hyperlink" xfId="6585" builtinId="9" hidden="1"/>
    <cellStyle name="Followed Hyperlink" xfId="6587" builtinId="9" hidden="1"/>
    <cellStyle name="Followed Hyperlink" xfId="6589" builtinId="9" hidden="1"/>
    <cellStyle name="Followed Hyperlink" xfId="6591" builtinId="9" hidden="1"/>
    <cellStyle name="Followed Hyperlink" xfId="6593" builtinId="9" hidden="1"/>
    <cellStyle name="Followed Hyperlink" xfId="6595" builtinId="9" hidden="1"/>
    <cellStyle name="Followed Hyperlink" xfId="6597" builtinId="9" hidden="1"/>
    <cellStyle name="Followed Hyperlink" xfId="6599" builtinId="9" hidden="1"/>
    <cellStyle name="Followed Hyperlink" xfId="6601" builtinId="9" hidden="1"/>
    <cellStyle name="Followed Hyperlink" xfId="6603" builtinId="9" hidden="1"/>
    <cellStyle name="Followed Hyperlink" xfId="6605" builtinId="9" hidden="1"/>
    <cellStyle name="Followed Hyperlink" xfId="6607" builtinId="9" hidden="1"/>
    <cellStyle name="Followed Hyperlink" xfId="6609" builtinId="9" hidden="1"/>
    <cellStyle name="Followed Hyperlink" xfId="6611" builtinId="9" hidden="1"/>
    <cellStyle name="Followed Hyperlink" xfId="6613" builtinId="9" hidden="1"/>
    <cellStyle name="Followed Hyperlink" xfId="6615" builtinId="9" hidden="1"/>
    <cellStyle name="Followed Hyperlink" xfId="6617" builtinId="9" hidden="1"/>
    <cellStyle name="Followed Hyperlink" xfId="6619" builtinId="9" hidden="1"/>
    <cellStyle name="Followed Hyperlink" xfId="6621" builtinId="9" hidden="1"/>
    <cellStyle name="Followed Hyperlink" xfId="6623" builtinId="9" hidden="1"/>
    <cellStyle name="Followed Hyperlink" xfId="6625" builtinId="9" hidden="1"/>
    <cellStyle name="Followed Hyperlink" xfId="6627" builtinId="9" hidden="1"/>
    <cellStyle name="Followed Hyperlink" xfId="6629" builtinId="9" hidden="1"/>
    <cellStyle name="Followed Hyperlink" xfId="6631" builtinId="9" hidden="1"/>
    <cellStyle name="Followed Hyperlink" xfId="6633" builtinId="9" hidden="1"/>
    <cellStyle name="Followed Hyperlink" xfId="6635" builtinId="9" hidden="1"/>
    <cellStyle name="Followed Hyperlink" xfId="6637" builtinId="9" hidden="1"/>
    <cellStyle name="Followed Hyperlink" xfId="6639" builtinId="9" hidden="1"/>
    <cellStyle name="Followed Hyperlink" xfId="6641" builtinId="9" hidden="1"/>
    <cellStyle name="Followed Hyperlink" xfId="6643" builtinId="9" hidden="1"/>
    <cellStyle name="Followed Hyperlink" xfId="6645" builtinId="9" hidden="1"/>
    <cellStyle name="Followed Hyperlink" xfId="6647" builtinId="9" hidden="1"/>
    <cellStyle name="Followed Hyperlink" xfId="6649" builtinId="9" hidden="1"/>
    <cellStyle name="Followed Hyperlink" xfId="6651" builtinId="9" hidden="1"/>
    <cellStyle name="Followed Hyperlink" xfId="6653" builtinId="9" hidden="1"/>
    <cellStyle name="Followed Hyperlink" xfId="6655" builtinId="9" hidden="1"/>
    <cellStyle name="Followed Hyperlink" xfId="6657" builtinId="9" hidden="1"/>
    <cellStyle name="Followed Hyperlink" xfId="6659" builtinId="9" hidden="1"/>
    <cellStyle name="Followed Hyperlink" xfId="6661" builtinId="9" hidden="1"/>
    <cellStyle name="Followed Hyperlink" xfId="6663" builtinId="9" hidden="1"/>
    <cellStyle name="Followed Hyperlink" xfId="6665" builtinId="9" hidden="1"/>
    <cellStyle name="Followed Hyperlink" xfId="6667" builtinId="9" hidden="1"/>
    <cellStyle name="Followed Hyperlink" xfId="6669" builtinId="9" hidden="1"/>
    <cellStyle name="Followed Hyperlink" xfId="6671" builtinId="9" hidden="1"/>
    <cellStyle name="Followed Hyperlink" xfId="6673" builtinId="9" hidden="1"/>
    <cellStyle name="Followed Hyperlink" xfId="6675" builtinId="9" hidden="1"/>
    <cellStyle name="Followed Hyperlink" xfId="6677" builtinId="9" hidden="1"/>
    <cellStyle name="Followed Hyperlink" xfId="6679" builtinId="9" hidden="1"/>
    <cellStyle name="Followed Hyperlink" xfId="6681" builtinId="9" hidden="1"/>
    <cellStyle name="Followed Hyperlink" xfId="6683" builtinId="9" hidden="1"/>
    <cellStyle name="Followed Hyperlink" xfId="6685" builtinId="9" hidden="1"/>
    <cellStyle name="Followed Hyperlink" xfId="6687" builtinId="9" hidden="1"/>
    <cellStyle name="Followed Hyperlink" xfId="6689" builtinId="9" hidden="1"/>
    <cellStyle name="Followed Hyperlink" xfId="6691" builtinId="9" hidden="1"/>
    <cellStyle name="Followed Hyperlink" xfId="6693" builtinId="9" hidden="1"/>
    <cellStyle name="Followed Hyperlink" xfId="6695" builtinId="9" hidden="1"/>
    <cellStyle name="Followed Hyperlink" xfId="6697" builtinId="9" hidden="1"/>
    <cellStyle name="Followed Hyperlink" xfId="6699" builtinId="9" hidden="1"/>
    <cellStyle name="Followed Hyperlink" xfId="6701" builtinId="9" hidden="1"/>
    <cellStyle name="Followed Hyperlink" xfId="6703" builtinId="9" hidden="1"/>
    <cellStyle name="Followed Hyperlink" xfId="6705" builtinId="9" hidden="1"/>
    <cellStyle name="Followed Hyperlink" xfId="6707" builtinId="9" hidden="1"/>
    <cellStyle name="Followed Hyperlink" xfId="6709" builtinId="9" hidden="1"/>
    <cellStyle name="Followed Hyperlink" xfId="6711" builtinId="9" hidden="1"/>
    <cellStyle name="Followed Hyperlink" xfId="6713" builtinId="9" hidden="1"/>
    <cellStyle name="Followed Hyperlink" xfId="6715" builtinId="9" hidden="1"/>
    <cellStyle name="Followed Hyperlink" xfId="6717" builtinId="9" hidden="1"/>
    <cellStyle name="Followed Hyperlink" xfId="6719" builtinId="9" hidden="1"/>
    <cellStyle name="Followed Hyperlink" xfId="6721" builtinId="9" hidden="1"/>
    <cellStyle name="Followed Hyperlink" xfId="6723" builtinId="9" hidden="1"/>
    <cellStyle name="Followed Hyperlink" xfId="6725" builtinId="9" hidden="1"/>
    <cellStyle name="Followed Hyperlink" xfId="6727" builtinId="9" hidden="1"/>
    <cellStyle name="Followed Hyperlink" xfId="6729" builtinId="9" hidden="1"/>
    <cellStyle name="Followed Hyperlink" xfId="6731" builtinId="9" hidden="1"/>
    <cellStyle name="Followed Hyperlink" xfId="6733" builtinId="9" hidden="1"/>
    <cellStyle name="Followed Hyperlink 2" xfId="1354"/>
    <cellStyle name="Followed Hyperlink 3" xfId="135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Hyperlink" xfId="2506" builtinId="8" hidden="1"/>
    <cellStyle name="Hyperlink" xfId="2508" builtinId="8" hidden="1"/>
    <cellStyle name="Hyperlink" xfId="2510" builtinId="8" hidden="1"/>
    <cellStyle name="Hyperlink" xfId="2512" builtinId="8" hidden="1"/>
    <cellStyle name="Hyperlink" xfId="2514" builtinId="8" hidden="1"/>
    <cellStyle name="Hyperlink" xfId="2516" builtinId="8" hidden="1"/>
    <cellStyle name="Hyperlink" xfId="2518" builtinId="8" hidden="1"/>
    <cellStyle name="Hyperlink" xfId="2520" builtinId="8" hidden="1"/>
    <cellStyle name="Hyperlink" xfId="2522" builtinId="8" hidden="1"/>
    <cellStyle name="Hyperlink" xfId="2524" builtinId="8" hidden="1"/>
    <cellStyle name="Hyperlink" xfId="2526" builtinId="8" hidden="1"/>
    <cellStyle name="Hyperlink" xfId="2528" builtinId="8" hidden="1"/>
    <cellStyle name="Hyperlink" xfId="2530" builtinId="8" hidden="1"/>
    <cellStyle name="Hyperlink" xfId="2532" builtinId="8" hidden="1"/>
    <cellStyle name="Hyperlink" xfId="2534" builtinId="8" hidden="1"/>
    <cellStyle name="Hyperlink" xfId="2536" builtinId="8" hidden="1"/>
    <cellStyle name="Hyperlink" xfId="2538" builtinId="8" hidden="1"/>
    <cellStyle name="Hyperlink" xfId="2540" builtinId="8" hidden="1"/>
    <cellStyle name="Hyperlink" xfId="2542" builtinId="8" hidden="1"/>
    <cellStyle name="Hyperlink" xfId="2544" builtinId="8" hidden="1"/>
    <cellStyle name="Hyperlink" xfId="2546" builtinId="8" hidden="1"/>
    <cellStyle name="Hyperlink" xfId="2548" builtinId="8" hidden="1"/>
    <cellStyle name="Hyperlink" xfId="2550" builtinId="8" hidden="1"/>
    <cellStyle name="Hyperlink" xfId="2552" builtinId="8" hidden="1"/>
    <cellStyle name="Hyperlink" xfId="2554" builtinId="8" hidden="1"/>
    <cellStyle name="Hyperlink" xfId="2556" builtinId="8" hidden="1"/>
    <cellStyle name="Hyperlink" xfId="2558" builtinId="8" hidden="1"/>
    <cellStyle name="Hyperlink" xfId="2560" builtinId="8" hidden="1"/>
    <cellStyle name="Hyperlink" xfId="2562" builtinId="8" hidden="1"/>
    <cellStyle name="Hyperlink" xfId="2564" builtinId="8" hidden="1"/>
    <cellStyle name="Hyperlink" xfId="2566" builtinId="8" hidden="1"/>
    <cellStyle name="Hyperlink" xfId="2568" builtinId="8" hidden="1"/>
    <cellStyle name="Hyperlink" xfId="2570" builtinId="8" hidden="1"/>
    <cellStyle name="Hyperlink" xfId="2572" builtinId="8" hidden="1"/>
    <cellStyle name="Hyperlink" xfId="2574" builtinId="8" hidden="1"/>
    <cellStyle name="Hyperlink" xfId="2576" builtinId="8" hidden="1"/>
    <cellStyle name="Hyperlink" xfId="2578" builtinId="8" hidden="1"/>
    <cellStyle name="Hyperlink" xfId="2580" builtinId="8" hidden="1"/>
    <cellStyle name="Hyperlink" xfId="2582" builtinId="8" hidden="1"/>
    <cellStyle name="Hyperlink" xfId="2584" builtinId="8" hidden="1"/>
    <cellStyle name="Hyperlink" xfId="2586" builtinId="8" hidden="1"/>
    <cellStyle name="Hyperlink" xfId="2588" builtinId="8" hidden="1"/>
    <cellStyle name="Hyperlink" xfId="2590" builtinId="8" hidden="1"/>
    <cellStyle name="Hyperlink" xfId="2592" builtinId="8" hidden="1"/>
    <cellStyle name="Hyperlink" xfId="2594" builtinId="8" hidden="1"/>
    <cellStyle name="Hyperlink" xfId="2596" builtinId="8" hidden="1"/>
    <cellStyle name="Hyperlink" xfId="2598" builtinId="8" hidden="1"/>
    <cellStyle name="Hyperlink" xfId="2600" builtinId="8" hidden="1"/>
    <cellStyle name="Hyperlink" xfId="2602" builtinId="8" hidden="1"/>
    <cellStyle name="Hyperlink" xfId="2604" builtinId="8" hidden="1"/>
    <cellStyle name="Hyperlink" xfId="2606" builtinId="8" hidden="1"/>
    <cellStyle name="Hyperlink" xfId="2608" builtinId="8" hidden="1"/>
    <cellStyle name="Hyperlink" xfId="2610" builtinId="8" hidden="1"/>
    <cellStyle name="Hyperlink" xfId="2612" builtinId="8" hidden="1"/>
    <cellStyle name="Hyperlink" xfId="2614" builtinId="8" hidden="1"/>
    <cellStyle name="Hyperlink" xfId="2616" builtinId="8" hidden="1"/>
    <cellStyle name="Hyperlink" xfId="2618" builtinId="8" hidden="1"/>
    <cellStyle name="Hyperlink" xfId="2620" builtinId="8" hidden="1"/>
    <cellStyle name="Hyperlink" xfId="2622" builtinId="8" hidden="1"/>
    <cellStyle name="Hyperlink" xfId="2624" builtinId="8" hidden="1"/>
    <cellStyle name="Hyperlink" xfId="2626" builtinId="8" hidden="1"/>
    <cellStyle name="Hyperlink" xfId="2628" builtinId="8" hidden="1"/>
    <cellStyle name="Hyperlink" xfId="2630" builtinId="8" hidden="1"/>
    <cellStyle name="Hyperlink" xfId="2632" builtinId="8" hidden="1"/>
    <cellStyle name="Hyperlink" xfId="2634" builtinId="8" hidden="1"/>
    <cellStyle name="Hyperlink" xfId="2636" builtinId="8" hidden="1"/>
    <cellStyle name="Hyperlink" xfId="2638" builtinId="8" hidden="1"/>
    <cellStyle name="Hyperlink" xfId="2640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1357" builtinId="8" hidden="1"/>
    <cellStyle name="Hyperlink" xfId="2700" builtinId="8" hidden="1"/>
    <cellStyle name="Hyperlink" xfId="2702" builtinId="8" hidden="1"/>
    <cellStyle name="Hyperlink" xfId="2704" builtinId="8" hidden="1"/>
    <cellStyle name="Hyperlink" xfId="2706" builtinId="8" hidden="1"/>
    <cellStyle name="Hyperlink" xfId="2708" builtinId="8" hidden="1"/>
    <cellStyle name="Hyperlink" xfId="2710" builtinId="8" hidden="1"/>
    <cellStyle name="Hyperlink" xfId="2712" builtinId="8" hidden="1"/>
    <cellStyle name="Hyperlink" xfId="2714" builtinId="8" hidden="1"/>
    <cellStyle name="Hyperlink" xfId="2716" builtinId="8" hidden="1"/>
    <cellStyle name="Hyperlink" xfId="2718" builtinId="8" hidden="1"/>
    <cellStyle name="Hyperlink" xfId="2720" builtinId="8" hidden="1"/>
    <cellStyle name="Hyperlink" xfId="2722" builtinId="8" hidden="1"/>
    <cellStyle name="Hyperlink" xfId="2724" builtinId="8" hidden="1"/>
    <cellStyle name="Hyperlink" xfId="2726" builtinId="8" hidden="1"/>
    <cellStyle name="Hyperlink" xfId="2728" builtinId="8" hidden="1"/>
    <cellStyle name="Hyperlink" xfId="2730" builtinId="8" hidden="1"/>
    <cellStyle name="Hyperlink" xfId="2732" builtinId="8" hidden="1"/>
    <cellStyle name="Hyperlink" xfId="2734" builtinId="8" hidden="1"/>
    <cellStyle name="Hyperlink" xfId="2736" builtinId="8" hidden="1"/>
    <cellStyle name="Hyperlink" xfId="2738" builtinId="8" hidden="1"/>
    <cellStyle name="Hyperlink" xfId="2740" builtinId="8" hidden="1"/>
    <cellStyle name="Hyperlink" xfId="2742" builtinId="8" hidden="1"/>
    <cellStyle name="Hyperlink" xfId="2744" builtinId="8" hidden="1"/>
    <cellStyle name="Hyperlink" xfId="2746" builtinId="8" hidden="1"/>
    <cellStyle name="Hyperlink" xfId="2748" builtinId="8" hidden="1"/>
    <cellStyle name="Hyperlink" xfId="2750" builtinId="8" hidden="1"/>
    <cellStyle name="Hyperlink" xfId="2752" builtinId="8" hidden="1"/>
    <cellStyle name="Hyperlink" xfId="2754" builtinId="8" hidden="1"/>
    <cellStyle name="Hyperlink" xfId="2756" builtinId="8" hidden="1"/>
    <cellStyle name="Hyperlink" xfId="2758" builtinId="8" hidden="1"/>
    <cellStyle name="Hyperlink" xfId="2760" builtinId="8" hidden="1"/>
    <cellStyle name="Hyperlink" xfId="2762" builtinId="8" hidden="1"/>
    <cellStyle name="Hyperlink" xfId="2764" builtinId="8" hidden="1"/>
    <cellStyle name="Hyperlink" xfId="2766" builtinId="8" hidden="1"/>
    <cellStyle name="Hyperlink" xfId="2768" builtinId="8" hidden="1"/>
    <cellStyle name="Hyperlink" xfId="2770" builtinId="8" hidden="1"/>
    <cellStyle name="Hyperlink" xfId="2772" builtinId="8" hidden="1"/>
    <cellStyle name="Hyperlink" xfId="2774" builtinId="8" hidden="1"/>
    <cellStyle name="Hyperlink" xfId="2776" builtinId="8" hidden="1"/>
    <cellStyle name="Hyperlink" xfId="2778" builtinId="8" hidden="1"/>
    <cellStyle name="Hyperlink" xfId="2780" builtinId="8" hidden="1"/>
    <cellStyle name="Hyperlink" xfId="2782" builtinId="8" hidden="1"/>
    <cellStyle name="Hyperlink" xfId="2784" builtinId="8" hidden="1"/>
    <cellStyle name="Hyperlink" xfId="2786" builtinId="8" hidden="1"/>
    <cellStyle name="Hyperlink" xfId="2788" builtinId="8" hidden="1"/>
    <cellStyle name="Hyperlink" xfId="2790" builtinId="8" hidden="1"/>
    <cellStyle name="Hyperlink" xfId="2792" builtinId="8" hidden="1"/>
    <cellStyle name="Hyperlink" xfId="2794" builtinId="8" hidden="1"/>
    <cellStyle name="Hyperlink" xfId="2796" builtinId="8" hidden="1"/>
    <cellStyle name="Hyperlink" xfId="2798" builtinId="8" hidden="1"/>
    <cellStyle name="Hyperlink" xfId="2800" builtinId="8" hidden="1"/>
    <cellStyle name="Hyperlink" xfId="2802" builtinId="8" hidden="1"/>
    <cellStyle name="Hyperlink" xfId="2804" builtinId="8" hidden="1"/>
    <cellStyle name="Hyperlink" xfId="2806" builtinId="8" hidden="1"/>
    <cellStyle name="Hyperlink" xfId="2808" builtinId="8" hidden="1"/>
    <cellStyle name="Hyperlink" xfId="2810" builtinId="8" hidden="1"/>
    <cellStyle name="Hyperlink" xfId="2812" builtinId="8" hidden="1"/>
    <cellStyle name="Hyperlink" xfId="2814" builtinId="8" hidden="1"/>
    <cellStyle name="Hyperlink" xfId="2816" builtinId="8" hidden="1"/>
    <cellStyle name="Hyperlink" xfId="2818" builtinId="8" hidden="1"/>
    <cellStyle name="Hyperlink" xfId="2820" builtinId="8" hidden="1"/>
    <cellStyle name="Hyperlink" xfId="2822" builtinId="8" hidden="1"/>
    <cellStyle name="Hyperlink" xfId="2824" builtinId="8" hidden="1"/>
    <cellStyle name="Hyperlink" xfId="2826" builtinId="8" hidden="1"/>
    <cellStyle name="Hyperlink" xfId="2828" builtinId="8" hidden="1"/>
    <cellStyle name="Hyperlink" xfId="2830" builtinId="8" hidden="1"/>
    <cellStyle name="Hyperlink" xfId="2832" builtinId="8" hidden="1"/>
    <cellStyle name="Hyperlink" xfId="2834" builtinId="8" hidden="1"/>
    <cellStyle name="Hyperlink" xfId="2836" builtinId="8" hidden="1"/>
    <cellStyle name="Hyperlink" xfId="2838" builtinId="8" hidden="1"/>
    <cellStyle name="Hyperlink" xfId="2840" builtinId="8" hidden="1"/>
    <cellStyle name="Hyperlink" xfId="2842" builtinId="8" hidden="1"/>
    <cellStyle name="Hyperlink" xfId="2844" builtinId="8" hidden="1"/>
    <cellStyle name="Hyperlink" xfId="2846" builtinId="8" hidden="1"/>
    <cellStyle name="Hyperlink" xfId="2848" builtinId="8" hidden="1"/>
    <cellStyle name="Hyperlink" xfId="2850" builtinId="8" hidden="1"/>
    <cellStyle name="Hyperlink" xfId="2852" builtinId="8" hidden="1"/>
    <cellStyle name="Hyperlink" xfId="2854" builtinId="8" hidden="1"/>
    <cellStyle name="Hyperlink" xfId="2856" builtinId="8" hidden="1"/>
    <cellStyle name="Hyperlink" xfId="2858" builtinId="8" hidden="1"/>
    <cellStyle name="Hyperlink" xfId="2860" builtinId="8" hidden="1"/>
    <cellStyle name="Hyperlink" xfId="2862" builtinId="8" hidden="1"/>
    <cellStyle name="Hyperlink" xfId="2864" builtinId="8" hidden="1"/>
    <cellStyle name="Hyperlink" xfId="2866" builtinId="8" hidden="1"/>
    <cellStyle name="Hyperlink" xfId="2868" builtinId="8" hidden="1"/>
    <cellStyle name="Hyperlink" xfId="2870" builtinId="8" hidden="1"/>
    <cellStyle name="Hyperlink" xfId="2872" builtinId="8" hidden="1"/>
    <cellStyle name="Hyperlink" xfId="2874" builtinId="8" hidden="1"/>
    <cellStyle name="Hyperlink" xfId="2876" builtinId="8" hidden="1"/>
    <cellStyle name="Hyperlink" xfId="2878" builtinId="8" hidden="1"/>
    <cellStyle name="Hyperlink" xfId="2880" builtinId="8" hidden="1"/>
    <cellStyle name="Hyperlink" xfId="2882" builtinId="8" hidden="1"/>
    <cellStyle name="Hyperlink" xfId="2884" builtinId="8" hidden="1"/>
    <cellStyle name="Hyperlink" xfId="2886" builtinId="8" hidden="1"/>
    <cellStyle name="Hyperlink" xfId="2888" builtinId="8" hidden="1"/>
    <cellStyle name="Hyperlink" xfId="2890" builtinId="8" hidden="1"/>
    <cellStyle name="Hyperlink" xfId="2892" builtinId="8" hidden="1"/>
    <cellStyle name="Hyperlink" xfId="2894" builtinId="8" hidden="1"/>
    <cellStyle name="Hyperlink" xfId="2896" builtinId="8" hidden="1"/>
    <cellStyle name="Hyperlink" xfId="2898" builtinId="8" hidden="1"/>
    <cellStyle name="Hyperlink" xfId="2900" builtinId="8" hidden="1"/>
    <cellStyle name="Hyperlink" xfId="2902" builtinId="8" hidden="1"/>
    <cellStyle name="Hyperlink" xfId="2904" builtinId="8" hidden="1"/>
    <cellStyle name="Hyperlink" xfId="2906" builtinId="8" hidden="1"/>
    <cellStyle name="Hyperlink" xfId="2908" builtinId="8" hidden="1"/>
    <cellStyle name="Hyperlink" xfId="2910" builtinId="8" hidden="1"/>
    <cellStyle name="Hyperlink" xfId="2912" builtinId="8" hidden="1"/>
    <cellStyle name="Hyperlink" xfId="2914" builtinId="8" hidden="1"/>
    <cellStyle name="Hyperlink" xfId="2916" builtinId="8" hidden="1"/>
    <cellStyle name="Hyperlink" xfId="2918" builtinId="8" hidden="1"/>
    <cellStyle name="Hyperlink" xfId="2920" builtinId="8" hidden="1"/>
    <cellStyle name="Hyperlink" xfId="2922" builtinId="8" hidden="1"/>
    <cellStyle name="Hyperlink" xfId="2924" builtinId="8" hidden="1"/>
    <cellStyle name="Hyperlink" xfId="2926" builtinId="8" hidden="1"/>
    <cellStyle name="Hyperlink" xfId="2928" builtinId="8" hidden="1"/>
    <cellStyle name="Hyperlink" xfId="2930" builtinId="8" hidden="1"/>
    <cellStyle name="Hyperlink" xfId="2932" builtinId="8" hidden="1"/>
    <cellStyle name="Hyperlink" xfId="2934" builtinId="8" hidden="1"/>
    <cellStyle name="Hyperlink" xfId="2936" builtinId="8" hidden="1"/>
    <cellStyle name="Hyperlink" xfId="2938" builtinId="8" hidden="1"/>
    <cellStyle name="Hyperlink" xfId="2940" builtinId="8" hidden="1"/>
    <cellStyle name="Hyperlink" xfId="2942" builtinId="8" hidden="1"/>
    <cellStyle name="Hyperlink" xfId="2944" builtinId="8" hidden="1"/>
    <cellStyle name="Hyperlink" xfId="2946" builtinId="8" hidden="1"/>
    <cellStyle name="Hyperlink" xfId="2948" builtinId="8" hidden="1"/>
    <cellStyle name="Hyperlink" xfId="2950" builtinId="8" hidden="1"/>
    <cellStyle name="Hyperlink" xfId="2952" builtinId="8" hidden="1"/>
    <cellStyle name="Hyperlink" xfId="2954" builtinId="8" hidden="1"/>
    <cellStyle name="Hyperlink" xfId="2956" builtinId="8" hidden="1"/>
    <cellStyle name="Hyperlink" xfId="2958" builtinId="8" hidden="1"/>
    <cellStyle name="Hyperlink" xfId="2960" builtinId="8" hidden="1"/>
    <cellStyle name="Hyperlink" xfId="2962" builtinId="8" hidden="1"/>
    <cellStyle name="Hyperlink" xfId="2964" builtinId="8" hidden="1"/>
    <cellStyle name="Hyperlink" xfId="2966" builtinId="8" hidden="1"/>
    <cellStyle name="Hyperlink" xfId="2968" builtinId="8" hidden="1"/>
    <cellStyle name="Hyperlink" xfId="2970" builtinId="8" hidden="1"/>
    <cellStyle name="Hyperlink" xfId="2972" builtinId="8" hidden="1"/>
    <cellStyle name="Hyperlink" xfId="2974" builtinId="8" hidden="1"/>
    <cellStyle name="Hyperlink" xfId="2976" builtinId="8" hidden="1"/>
    <cellStyle name="Hyperlink" xfId="2978" builtinId="8" hidden="1"/>
    <cellStyle name="Hyperlink" xfId="2980" builtinId="8" hidden="1"/>
    <cellStyle name="Hyperlink" xfId="2982" builtinId="8" hidden="1"/>
    <cellStyle name="Hyperlink" xfId="2984" builtinId="8" hidden="1"/>
    <cellStyle name="Hyperlink" xfId="2986" builtinId="8" hidden="1"/>
    <cellStyle name="Hyperlink" xfId="2988" builtinId="8" hidden="1"/>
    <cellStyle name="Hyperlink" xfId="2990" builtinId="8" hidden="1"/>
    <cellStyle name="Hyperlink" xfId="2992" builtinId="8" hidden="1"/>
    <cellStyle name="Hyperlink" xfId="2994" builtinId="8" hidden="1"/>
    <cellStyle name="Hyperlink" xfId="2996" builtinId="8" hidden="1"/>
    <cellStyle name="Hyperlink" xfId="2998" builtinId="8" hidden="1"/>
    <cellStyle name="Hyperlink" xfId="3000" builtinId="8" hidden="1"/>
    <cellStyle name="Hyperlink" xfId="3002" builtinId="8" hidden="1"/>
    <cellStyle name="Hyperlink" xfId="3004" builtinId="8" hidden="1"/>
    <cellStyle name="Hyperlink" xfId="3006" builtinId="8" hidden="1"/>
    <cellStyle name="Hyperlink" xfId="3008" builtinId="8" hidden="1"/>
    <cellStyle name="Hyperlink" xfId="3010" builtinId="8" hidden="1"/>
    <cellStyle name="Hyperlink" xfId="3012" builtinId="8" hidden="1"/>
    <cellStyle name="Hyperlink" xfId="3014" builtinId="8" hidden="1"/>
    <cellStyle name="Hyperlink" xfId="3016" builtinId="8" hidden="1"/>
    <cellStyle name="Hyperlink" xfId="3018" builtinId="8" hidden="1"/>
    <cellStyle name="Hyperlink" xfId="3020" builtinId="8" hidden="1"/>
    <cellStyle name="Hyperlink" xfId="3022" builtinId="8" hidden="1"/>
    <cellStyle name="Hyperlink" xfId="3024" builtinId="8" hidden="1"/>
    <cellStyle name="Hyperlink" xfId="3026" builtinId="8" hidden="1"/>
    <cellStyle name="Hyperlink" xfId="3028" builtinId="8" hidden="1"/>
    <cellStyle name="Hyperlink" xfId="3030" builtinId="8" hidden="1"/>
    <cellStyle name="Hyperlink" xfId="3032" builtinId="8" hidden="1"/>
    <cellStyle name="Hyperlink" xfId="3034" builtinId="8" hidden="1"/>
    <cellStyle name="Hyperlink" xfId="3036" builtinId="8" hidden="1"/>
    <cellStyle name="Hyperlink" xfId="3038" builtinId="8" hidden="1"/>
    <cellStyle name="Hyperlink" xfId="3040" builtinId="8" hidden="1"/>
    <cellStyle name="Hyperlink" xfId="3042" builtinId="8" hidden="1"/>
    <cellStyle name="Hyperlink" xfId="3044" builtinId="8" hidden="1"/>
    <cellStyle name="Hyperlink" xfId="3046" builtinId="8" hidden="1"/>
    <cellStyle name="Hyperlink" xfId="3048" builtinId="8" hidden="1"/>
    <cellStyle name="Hyperlink" xfId="3050" builtinId="8" hidden="1"/>
    <cellStyle name="Hyperlink" xfId="3052" builtinId="8" hidden="1"/>
    <cellStyle name="Hyperlink" xfId="3054" builtinId="8" hidden="1"/>
    <cellStyle name="Hyperlink" xfId="3056" builtinId="8" hidden="1"/>
    <cellStyle name="Hyperlink" xfId="3058" builtinId="8" hidden="1"/>
    <cellStyle name="Hyperlink" xfId="3060" builtinId="8" hidden="1"/>
    <cellStyle name="Hyperlink" xfId="3062" builtinId="8" hidden="1"/>
    <cellStyle name="Hyperlink" xfId="3064" builtinId="8" hidden="1"/>
    <cellStyle name="Hyperlink" xfId="3066" builtinId="8" hidden="1"/>
    <cellStyle name="Hyperlink" xfId="3068" builtinId="8" hidden="1"/>
    <cellStyle name="Hyperlink" xfId="3070" builtinId="8" hidden="1"/>
    <cellStyle name="Hyperlink" xfId="3072" builtinId="8" hidden="1"/>
    <cellStyle name="Hyperlink" xfId="3074" builtinId="8" hidden="1"/>
    <cellStyle name="Hyperlink" xfId="3076" builtinId="8" hidden="1"/>
    <cellStyle name="Hyperlink" xfId="3078" builtinId="8" hidden="1"/>
    <cellStyle name="Hyperlink" xfId="3080" builtinId="8" hidden="1"/>
    <cellStyle name="Hyperlink" xfId="3082" builtinId="8" hidden="1"/>
    <cellStyle name="Hyperlink" xfId="3084" builtinId="8" hidden="1"/>
    <cellStyle name="Hyperlink" xfId="3086" builtinId="8" hidden="1"/>
    <cellStyle name="Hyperlink" xfId="3088" builtinId="8" hidden="1"/>
    <cellStyle name="Hyperlink" xfId="3090" builtinId="8" hidden="1"/>
    <cellStyle name="Hyperlink" xfId="3092" builtinId="8" hidden="1"/>
    <cellStyle name="Hyperlink" xfId="3094" builtinId="8" hidden="1"/>
    <cellStyle name="Hyperlink" xfId="3096" builtinId="8" hidden="1"/>
    <cellStyle name="Hyperlink" xfId="3098" builtinId="8" hidden="1"/>
    <cellStyle name="Hyperlink" xfId="3100" builtinId="8" hidden="1"/>
    <cellStyle name="Hyperlink" xfId="3102" builtinId="8" hidden="1"/>
    <cellStyle name="Hyperlink" xfId="3104" builtinId="8" hidden="1"/>
    <cellStyle name="Hyperlink" xfId="3106" builtinId="8" hidden="1"/>
    <cellStyle name="Hyperlink" xfId="3108" builtinId="8" hidden="1"/>
    <cellStyle name="Hyperlink" xfId="3110" builtinId="8" hidden="1"/>
    <cellStyle name="Hyperlink" xfId="3112" builtinId="8" hidden="1"/>
    <cellStyle name="Hyperlink" xfId="3114" builtinId="8" hidden="1"/>
    <cellStyle name="Hyperlink" xfId="3116" builtinId="8" hidden="1"/>
    <cellStyle name="Hyperlink" xfId="3118" builtinId="8" hidden="1"/>
    <cellStyle name="Hyperlink" xfId="3120" builtinId="8" hidden="1"/>
    <cellStyle name="Hyperlink" xfId="3122" builtinId="8" hidden="1"/>
    <cellStyle name="Hyperlink" xfId="3124" builtinId="8" hidden="1"/>
    <cellStyle name="Hyperlink" xfId="3126" builtinId="8" hidden="1"/>
    <cellStyle name="Hyperlink" xfId="3128" builtinId="8" hidden="1"/>
    <cellStyle name="Hyperlink" xfId="3130" builtinId="8" hidden="1"/>
    <cellStyle name="Hyperlink" xfId="3132" builtinId="8" hidden="1"/>
    <cellStyle name="Hyperlink" xfId="3134" builtinId="8" hidden="1"/>
    <cellStyle name="Hyperlink" xfId="3136" builtinId="8" hidden="1"/>
    <cellStyle name="Hyperlink" xfId="3138" builtinId="8" hidden="1"/>
    <cellStyle name="Hyperlink" xfId="3140" builtinId="8" hidden="1"/>
    <cellStyle name="Hyperlink" xfId="3142" builtinId="8" hidden="1"/>
    <cellStyle name="Hyperlink" xfId="3144" builtinId="8" hidden="1"/>
    <cellStyle name="Hyperlink" xfId="3146" builtinId="8" hidden="1"/>
    <cellStyle name="Hyperlink" xfId="3148" builtinId="8" hidden="1"/>
    <cellStyle name="Hyperlink" xfId="3150" builtinId="8" hidden="1"/>
    <cellStyle name="Hyperlink" xfId="3152" builtinId="8" hidden="1"/>
    <cellStyle name="Hyperlink" xfId="3154" builtinId="8" hidden="1"/>
    <cellStyle name="Hyperlink" xfId="3156" builtinId="8" hidden="1"/>
    <cellStyle name="Hyperlink" xfId="3158" builtinId="8" hidden="1"/>
    <cellStyle name="Hyperlink" xfId="3160" builtinId="8" hidden="1"/>
    <cellStyle name="Hyperlink" xfId="3162" builtinId="8" hidden="1"/>
    <cellStyle name="Hyperlink" xfId="3164" builtinId="8" hidden="1"/>
    <cellStyle name="Hyperlink" xfId="3166" builtinId="8" hidden="1"/>
    <cellStyle name="Hyperlink" xfId="3168" builtinId="8" hidden="1"/>
    <cellStyle name="Hyperlink" xfId="3170" builtinId="8" hidden="1"/>
    <cellStyle name="Hyperlink" xfId="3172" builtinId="8" hidden="1"/>
    <cellStyle name="Hyperlink" xfId="3174" builtinId="8" hidden="1"/>
    <cellStyle name="Hyperlink" xfId="3176" builtinId="8" hidden="1"/>
    <cellStyle name="Hyperlink" xfId="3178" builtinId="8" hidden="1"/>
    <cellStyle name="Hyperlink" xfId="3180" builtinId="8" hidden="1"/>
    <cellStyle name="Hyperlink" xfId="3182" builtinId="8" hidden="1"/>
    <cellStyle name="Hyperlink" xfId="3184" builtinId="8" hidden="1"/>
    <cellStyle name="Hyperlink" xfId="3186" builtinId="8" hidden="1"/>
    <cellStyle name="Hyperlink" xfId="3188" builtinId="8" hidden="1"/>
    <cellStyle name="Hyperlink" xfId="3190" builtinId="8" hidden="1"/>
    <cellStyle name="Hyperlink" xfId="3192" builtinId="8" hidden="1"/>
    <cellStyle name="Hyperlink" xfId="3194" builtinId="8" hidden="1"/>
    <cellStyle name="Hyperlink" xfId="3196" builtinId="8" hidden="1"/>
    <cellStyle name="Hyperlink" xfId="3198" builtinId="8" hidden="1"/>
    <cellStyle name="Hyperlink" xfId="3200" builtinId="8" hidden="1"/>
    <cellStyle name="Hyperlink" xfId="3202" builtinId="8" hidden="1"/>
    <cellStyle name="Hyperlink" xfId="3204" builtinId="8" hidden="1"/>
    <cellStyle name="Hyperlink" xfId="3206" builtinId="8" hidden="1"/>
    <cellStyle name="Hyperlink" xfId="3208" builtinId="8" hidden="1"/>
    <cellStyle name="Hyperlink" xfId="3210" builtinId="8" hidden="1"/>
    <cellStyle name="Hyperlink" xfId="3212" builtinId="8" hidden="1"/>
    <cellStyle name="Hyperlink" xfId="3214" builtinId="8" hidden="1"/>
    <cellStyle name="Hyperlink" xfId="3216" builtinId="8" hidden="1"/>
    <cellStyle name="Hyperlink" xfId="3218" builtinId="8" hidden="1"/>
    <cellStyle name="Hyperlink" xfId="3220" builtinId="8" hidden="1"/>
    <cellStyle name="Hyperlink" xfId="3222" builtinId="8" hidden="1"/>
    <cellStyle name="Hyperlink" xfId="3224" builtinId="8" hidden="1"/>
    <cellStyle name="Hyperlink" xfId="3226" builtinId="8" hidden="1"/>
    <cellStyle name="Hyperlink" xfId="3228" builtinId="8" hidden="1"/>
    <cellStyle name="Hyperlink" xfId="3230" builtinId="8" hidden="1"/>
    <cellStyle name="Hyperlink" xfId="3232" builtinId="8" hidden="1"/>
    <cellStyle name="Hyperlink" xfId="3234" builtinId="8" hidden="1"/>
    <cellStyle name="Hyperlink" xfId="3236" builtinId="8" hidden="1"/>
    <cellStyle name="Hyperlink" xfId="3238" builtinId="8" hidden="1"/>
    <cellStyle name="Hyperlink" xfId="3240" builtinId="8" hidden="1"/>
    <cellStyle name="Hyperlink" xfId="3242" builtinId="8" hidden="1"/>
    <cellStyle name="Hyperlink" xfId="3244" builtinId="8" hidden="1"/>
    <cellStyle name="Hyperlink" xfId="3246" builtinId="8" hidden="1"/>
    <cellStyle name="Hyperlink" xfId="3248" builtinId="8" hidden="1"/>
    <cellStyle name="Hyperlink" xfId="3250" builtinId="8" hidden="1"/>
    <cellStyle name="Hyperlink" xfId="3252" builtinId="8" hidden="1"/>
    <cellStyle name="Hyperlink" xfId="3254" builtinId="8" hidden="1"/>
    <cellStyle name="Hyperlink" xfId="3256" builtinId="8" hidden="1"/>
    <cellStyle name="Hyperlink" xfId="3258" builtinId="8" hidden="1"/>
    <cellStyle name="Hyperlink" xfId="3260" builtinId="8" hidden="1"/>
    <cellStyle name="Hyperlink" xfId="3262" builtinId="8" hidden="1"/>
    <cellStyle name="Hyperlink" xfId="3264" builtinId="8" hidden="1"/>
    <cellStyle name="Hyperlink" xfId="3266" builtinId="8" hidden="1"/>
    <cellStyle name="Hyperlink" xfId="3268" builtinId="8" hidden="1"/>
    <cellStyle name="Hyperlink" xfId="3270" builtinId="8" hidden="1"/>
    <cellStyle name="Hyperlink" xfId="3272" builtinId="8" hidden="1"/>
    <cellStyle name="Hyperlink" xfId="3274" builtinId="8" hidden="1"/>
    <cellStyle name="Hyperlink" xfId="3276" builtinId="8" hidden="1"/>
    <cellStyle name="Hyperlink" xfId="3278" builtinId="8" hidden="1"/>
    <cellStyle name="Hyperlink" xfId="3280" builtinId="8" hidden="1"/>
    <cellStyle name="Hyperlink" xfId="3282" builtinId="8" hidden="1"/>
    <cellStyle name="Hyperlink" xfId="3284" builtinId="8" hidden="1"/>
    <cellStyle name="Hyperlink" xfId="3286" builtinId="8" hidden="1"/>
    <cellStyle name="Hyperlink" xfId="3288" builtinId="8" hidden="1"/>
    <cellStyle name="Hyperlink" xfId="3290" builtinId="8" hidden="1"/>
    <cellStyle name="Hyperlink" xfId="3292" builtinId="8" hidden="1"/>
    <cellStyle name="Hyperlink" xfId="3294" builtinId="8" hidden="1"/>
    <cellStyle name="Hyperlink" xfId="3296" builtinId="8" hidden="1"/>
    <cellStyle name="Hyperlink" xfId="3298" builtinId="8" hidden="1"/>
    <cellStyle name="Hyperlink" xfId="3300" builtinId="8" hidden="1"/>
    <cellStyle name="Hyperlink" xfId="3302" builtinId="8" hidden="1"/>
    <cellStyle name="Hyperlink" xfId="3304" builtinId="8" hidden="1"/>
    <cellStyle name="Hyperlink" xfId="3306" builtinId="8" hidden="1"/>
    <cellStyle name="Hyperlink" xfId="3308" builtinId="8" hidden="1"/>
    <cellStyle name="Hyperlink" xfId="3310" builtinId="8" hidden="1"/>
    <cellStyle name="Hyperlink" xfId="3312" builtinId="8" hidden="1"/>
    <cellStyle name="Hyperlink" xfId="3314" builtinId="8" hidden="1"/>
    <cellStyle name="Hyperlink" xfId="3316" builtinId="8" hidden="1"/>
    <cellStyle name="Hyperlink" xfId="3318" builtinId="8" hidden="1"/>
    <cellStyle name="Hyperlink" xfId="3320" builtinId="8" hidden="1"/>
    <cellStyle name="Hyperlink" xfId="3322" builtinId="8" hidden="1"/>
    <cellStyle name="Hyperlink" xfId="3324" builtinId="8" hidden="1"/>
    <cellStyle name="Hyperlink" xfId="3326" builtinId="8" hidden="1"/>
    <cellStyle name="Hyperlink" xfId="3328" builtinId="8" hidden="1"/>
    <cellStyle name="Hyperlink" xfId="3330" builtinId="8" hidden="1"/>
    <cellStyle name="Hyperlink" xfId="3332" builtinId="8" hidden="1"/>
    <cellStyle name="Hyperlink" xfId="3334" builtinId="8" hidden="1"/>
    <cellStyle name="Hyperlink" xfId="3336" builtinId="8" hidden="1"/>
    <cellStyle name="Hyperlink" xfId="3338" builtinId="8" hidden="1"/>
    <cellStyle name="Hyperlink" xfId="3340" builtinId="8" hidden="1"/>
    <cellStyle name="Hyperlink" xfId="3342" builtinId="8" hidden="1"/>
    <cellStyle name="Hyperlink" xfId="3344" builtinId="8" hidden="1"/>
    <cellStyle name="Hyperlink" xfId="3346" builtinId="8" hidden="1"/>
    <cellStyle name="Hyperlink" xfId="3348" builtinId="8" hidden="1"/>
    <cellStyle name="Hyperlink" xfId="3350" builtinId="8" hidden="1"/>
    <cellStyle name="Hyperlink" xfId="3352" builtinId="8" hidden="1"/>
    <cellStyle name="Hyperlink" xfId="3354" builtinId="8" hidden="1"/>
    <cellStyle name="Hyperlink" xfId="3356" builtinId="8" hidden="1"/>
    <cellStyle name="Hyperlink" xfId="3358" builtinId="8" hidden="1"/>
    <cellStyle name="Hyperlink" xfId="3360" builtinId="8" hidden="1"/>
    <cellStyle name="Hyperlink" xfId="3362" builtinId="8" hidden="1"/>
    <cellStyle name="Hyperlink" xfId="3364" builtinId="8" hidden="1"/>
    <cellStyle name="Hyperlink" xfId="3366" builtinId="8" hidden="1"/>
    <cellStyle name="Hyperlink" xfId="3368" builtinId="8" hidden="1"/>
    <cellStyle name="Hyperlink" xfId="3370" builtinId="8" hidden="1"/>
    <cellStyle name="Hyperlink" xfId="3372" builtinId="8" hidden="1"/>
    <cellStyle name="Hyperlink" xfId="3374" builtinId="8" hidden="1"/>
    <cellStyle name="Hyperlink" xfId="3376" builtinId="8" hidden="1"/>
    <cellStyle name="Hyperlink" xfId="3378" builtinId="8" hidden="1"/>
    <cellStyle name="Hyperlink" xfId="3380" builtinId="8" hidden="1"/>
    <cellStyle name="Hyperlink" xfId="3382" builtinId="8" hidden="1"/>
    <cellStyle name="Hyperlink" xfId="3384" builtinId="8" hidden="1"/>
    <cellStyle name="Hyperlink" xfId="3386" builtinId="8" hidden="1"/>
    <cellStyle name="Hyperlink" xfId="3388" builtinId="8" hidden="1"/>
    <cellStyle name="Hyperlink" xfId="3390" builtinId="8" hidden="1"/>
    <cellStyle name="Hyperlink" xfId="3392" builtinId="8" hidden="1"/>
    <cellStyle name="Hyperlink" xfId="3394" builtinId="8" hidden="1"/>
    <cellStyle name="Hyperlink" xfId="3396" builtinId="8" hidden="1"/>
    <cellStyle name="Hyperlink" xfId="3398" builtinId="8" hidden="1"/>
    <cellStyle name="Hyperlink" xfId="3400" builtinId="8" hidden="1"/>
    <cellStyle name="Hyperlink" xfId="3402" builtinId="8" hidden="1"/>
    <cellStyle name="Hyperlink" xfId="3404" builtinId="8" hidden="1"/>
    <cellStyle name="Hyperlink" xfId="3406" builtinId="8" hidden="1"/>
    <cellStyle name="Hyperlink" xfId="3408" builtinId="8" hidden="1"/>
    <cellStyle name="Hyperlink" xfId="3410" builtinId="8" hidden="1"/>
    <cellStyle name="Hyperlink" xfId="3412" builtinId="8" hidden="1"/>
    <cellStyle name="Hyperlink" xfId="3414" builtinId="8" hidden="1"/>
    <cellStyle name="Hyperlink" xfId="3416" builtinId="8" hidden="1"/>
    <cellStyle name="Hyperlink" xfId="3418" builtinId="8" hidden="1"/>
    <cellStyle name="Hyperlink" xfId="3420" builtinId="8" hidden="1"/>
    <cellStyle name="Hyperlink" xfId="3422" builtinId="8" hidden="1"/>
    <cellStyle name="Hyperlink" xfId="3424" builtinId="8" hidden="1"/>
    <cellStyle name="Hyperlink" xfId="3426" builtinId="8" hidden="1"/>
    <cellStyle name="Hyperlink" xfId="3428" builtinId="8" hidden="1"/>
    <cellStyle name="Hyperlink" xfId="3430" builtinId="8" hidden="1"/>
    <cellStyle name="Hyperlink" xfId="3432" builtinId="8" hidden="1"/>
    <cellStyle name="Hyperlink" xfId="3434" builtinId="8" hidden="1"/>
    <cellStyle name="Hyperlink" xfId="3436" builtinId="8" hidden="1"/>
    <cellStyle name="Hyperlink" xfId="3438" builtinId="8" hidden="1"/>
    <cellStyle name="Hyperlink" xfId="3440" builtinId="8" hidden="1"/>
    <cellStyle name="Hyperlink" xfId="3442" builtinId="8" hidden="1"/>
    <cellStyle name="Hyperlink" xfId="3444" builtinId="8" hidden="1"/>
    <cellStyle name="Hyperlink" xfId="3446" builtinId="8" hidden="1"/>
    <cellStyle name="Hyperlink" xfId="3448" builtinId="8" hidden="1"/>
    <cellStyle name="Hyperlink" xfId="3450" builtinId="8" hidden="1"/>
    <cellStyle name="Hyperlink" xfId="3452" builtinId="8" hidden="1"/>
    <cellStyle name="Hyperlink" xfId="3454" builtinId="8" hidden="1"/>
    <cellStyle name="Hyperlink" xfId="3456" builtinId="8" hidden="1"/>
    <cellStyle name="Hyperlink" xfId="3458" builtinId="8" hidden="1"/>
    <cellStyle name="Hyperlink" xfId="3460" builtinId="8" hidden="1"/>
    <cellStyle name="Hyperlink" xfId="3462" builtinId="8" hidden="1"/>
    <cellStyle name="Hyperlink" xfId="3464" builtinId="8" hidden="1"/>
    <cellStyle name="Hyperlink" xfId="3466" builtinId="8" hidden="1"/>
    <cellStyle name="Hyperlink" xfId="3468" builtinId="8" hidden="1"/>
    <cellStyle name="Hyperlink" xfId="3470" builtinId="8" hidden="1"/>
    <cellStyle name="Hyperlink" xfId="3472" builtinId="8" hidden="1"/>
    <cellStyle name="Hyperlink" xfId="3474" builtinId="8" hidden="1"/>
    <cellStyle name="Hyperlink" xfId="3476" builtinId="8" hidden="1"/>
    <cellStyle name="Hyperlink" xfId="3478" builtinId="8" hidden="1"/>
    <cellStyle name="Hyperlink" xfId="3480" builtinId="8" hidden="1"/>
    <cellStyle name="Hyperlink" xfId="3482" builtinId="8" hidden="1"/>
    <cellStyle name="Hyperlink" xfId="3484" builtinId="8" hidden="1"/>
    <cellStyle name="Hyperlink" xfId="3486" builtinId="8" hidden="1"/>
    <cellStyle name="Hyperlink" xfId="3488" builtinId="8" hidden="1"/>
    <cellStyle name="Hyperlink" xfId="3490" builtinId="8" hidden="1"/>
    <cellStyle name="Hyperlink" xfId="3492" builtinId="8" hidden="1"/>
    <cellStyle name="Hyperlink" xfId="3494" builtinId="8" hidden="1"/>
    <cellStyle name="Hyperlink" xfId="3496" builtinId="8" hidden="1"/>
    <cellStyle name="Hyperlink" xfId="3498" builtinId="8" hidden="1"/>
    <cellStyle name="Hyperlink" xfId="3500" builtinId="8" hidden="1"/>
    <cellStyle name="Hyperlink" xfId="3502" builtinId="8" hidden="1"/>
    <cellStyle name="Hyperlink" xfId="3504" builtinId="8" hidden="1"/>
    <cellStyle name="Hyperlink" xfId="3506" builtinId="8" hidden="1"/>
    <cellStyle name="Hyperlink" xfId="3508" builtinId="8" hidden="1"/>
    <cellStyle name="Hyperlink" xfId="3510" builtinId="8" hidden="1"/>
    <cellStyle name="Hyperlink" xfId="3512" builtinId="8" hidden="1"/>
    <cellStyle name="Hyperlink" xfId="3514" builtinId="8" hidden="1"/>
    <cellStyle name="Hyperlink" xfId="3516" builtinId="8" hidden="1"/>
    <cellStyle name="Hyperlink" xfId="3518" builtinId="8" hidden="1"/>
    <cellStyle name="Hyperlink" xfId="3520" builtinId="8" hidden="1"/>
    <cellStyle name="Hyperlink" xfId="3522" builtinId="8" hidden="1"/>
    <cellStyle name="Hyperlink" xfId="3524" builtinId="8" hidden="1"/>
    <cellStyle name="Hyperlink" xfId="3526" builtinId="8" hidden="1"/>
    <cellStyle name="Hyperlink" xfId="3528" builtinId="8" hidden="1"/>
    <cellStyle name="Hyperlink" xfId="3530" builtinId="8" hidden="1"/>
    <cellStyle name="Hyperlink" xfId="3532" builtinId="8" hidden="1"/>
    <cellStyle name="Hyperlink" xfId="3534" builtinId="8" hidden="1"/>
    <cellStyle name="Hyperlink" xfId="3536" builtinId="8" hidden="1"/>
    <cellStyle name="Hyperlink" xfId="3538" builtinId="8" hidden="1"/>
    <cellStyle name="Hyperlink" xfId="3540" builtinId="8" hidden="1"/>
    <cellStyle name="Hyperlink" xfId="3542" builtinId="8" hidden="1"/>
    <cellStyle name="Hyperlink" xfId="3544" builtinId="8" hidden="1"/>
    <cellStyle name="Hyperlink" xfId="3546" builtinId="8" hidden="1"/>
    <cellStyle name="Hyperlink" xfId="3548" builtinId="8" hidden="1"/>
    <cellStyle name="Hyperlink" xfId="3550" builtinId="8" hidden="1"/>
    <cellStyle name="Hyperlink" xfId="3552" builtinId="8" hidden="1"/>
    <cellStyle name="Hyperlink" xfId="3554" builtinId="8" hidden="1"/>
    <cellStyle name="Hyperlink" xfId="3556" builtinId="8" hidden="1"/>
    <cellStyle name="Hyperlink" xfId="3558" builtinId="8" hidden="1"/>
    <cellStyle name="Hyperlink" xfId="3560" builtinId="8" hidden="1"/>
    <cellStyle name="Hyperlink" xfId="3562" builtinId="8" hidden="1"/>
    <cellStyle name="Hyperlink" xfId="3564" builtinId="8" hidden="1"/>
    <cellStyle name="Hyperlink" xfId="3566" builtinId="8" hidden="1"/>
    <cellStyle name="Hyperlink" xfId="3568" builtinId="8" hidden="1"/>
    <cellStyle name="Hyperlink" xfId="3570" builtinId="8" hidden="1"/>
    <cellStyle name="Hyperlink" xfId="3572" builtinId="8" hidden="1"/>
    <cellStyle name="Hyperlink" xfId="3574" builtinId="8" hidden="1"/>
    <cellStyle name="Hyperlink" xfId="3576" builtinId="8" hidden="1"/>
    <cellStyle name="Hyperlink" xfId="3578" builtinId="8" hidden="1"/>
    <cellStyle name="Hyperlink" xfId="3580" builtinId="8" hidden="1"/>
    <cellStyle name="Hyperlink" xfId="3582" builtinId="8" hidden="1"/>
    <cellStyle name="Hyperlink" xfId="3584" builtinId="8" hidden="1"/>
    <cellStyle name="Hyperlink" xfId="3586" builtinId="8" hidden="1"/>
    <cellStyle name="Hyperlink" xfId="3588" builtinId="8" hidden="1"/>
    <cellStyle name="Hyperlink" xfId="3590" builtinId="8" hidden="1"/>
    <cellStyle name="Hyperlink" xfId="3592" builtinId="8" hidden="1"/>
    <cellStyle name="Hyperlink" xfId="3594" builtinId="8" hidden="1"/>
    <cellStyle name="Hyperlink" xfId="3596" builtinId="8" hidden="1"/>
    <cellStyle name="Hyperlink" xfId="3598" builtinId="8" hidden="1"/>
    <cellStyle name="Hyperlink" xfId="3600" builtinId="8" hidden="1"/>
    <cellStyle name="Hyperlink" xfId="3602" builtinId="8" hidden="1"/>
    <cellStyle name="Hyperlink" xfId="3604" builtinId="8" hidden="1"/>
    <cellStyle name="Hyperlink" xfId="3606" builtinId="8" hidden="1"/>
    <cellStyle name="Hyperlink" xfId="3608" builtinId="8" hidden="1"/>
    <cellStyle name="Hyperlink" xfId="3610" builtinId="8" hidden="1"/>
    <cellStyle name="Hyperlink" xfId="3612" builtinId="8" hidden="1"/>
    <cellStyle name="Hyperlink" xfId="3614" builtinId="8" hidden="1"/>
    <cellStyle name="Hyperlink" xfId="3616" builtinId="8" hidden="1"/>
    <cellStyle name="Hyperlink" xfId="3618" builtinId="8" hidden="1"/>
    <cellStyle name="Hyperlink" xfId="3620" builtinId="8" hidden="1"/>
    <cellStyle name="Hyperlink" xfId="3622" builtinId="8" hidden="1"/>
    <cellStyle name="Hyperlink" xfId="3624" builtinId="8" hidden="1"/>
    <cellStyle name="Hyperlink" xfId="3626" builtinId="8" hidden="1"/>
    <cellStyle name="Hyperlink" xfId="3628" builtinId="8" hidden="1"/>
    <cellStyle name="Hyperlink" xfId="3630" builtinId="8" hidden="1"/>
    <cellStyle name="Hyperlink" xfId="3632" builtinId="8" hidden="1"/>
    <cellStyle name="Hyperlink" xfId="3634" builtinId="8" hidden="1"/>
    <cellStyle name="Hyperlink" xfId="3636" builtinId="8" hidden="1"/>
    <cellStyle name="Hyperlink" xfId="3638" builtinId="8" hidden="1"/>
    <cellStyle name="Hyperlink" xfId="3640" builtinId="8" hidden="1"/>
    <cellStyle name="Hyperlink" xfId="3642" builtinId="8" hidden="1"/>
    <cellStyle name="Hyperlink" xfId="3644" builtinId="8" hidden="1"/>
    <cellStyle name="Hyperlink" xfId="3646" builtinId="8" hidden="1"/>
    <cellStyle name="Hyperlink" xfId="3648" builtinId="8" hidden="1"/>
    <cellStyle name="Hyperlink" xfId="3650" builtinId="8" hidden="1"/>
    <cellStyle name="Hyperlink" xfId="3652" builtinId="8" hidden="1"/>
    <cellStyle name="Hyperlink" xfId="3654" builtinId="8" hidden="1"/>
    <cellStyle name="Hyperlink" xfId="3656" builtinId="8" hidden="1"/>
    <cellStyle name="Hyperlink" xfId="3658" builtinId="8" hidden="1"/>
    <cellStyle name="Hyperlink" xfId="3660" builtinId="8" hidden="1"/>
    <cellStyle name="Hyperlink" xfId="3662" builtinId="8" hidden="1"/>
    <cellStyle name="Hyperlink" xfId="3664" builtinId="8" hidden="1"/>
    <cellStyle name="Hyperlink" xfId="3666" builtinId="8" hidden="1"/>
    <cellStyle name="Hyperlink" xfId="3668" builtinId="8" hidden="1"/>
    <cellStyle name="Hyperlink" xfId="3670" builtinId="8" hidden="1"/>
    <cellStyle name="Hyperlink" xfId="3672" builtinId="8" hidden="1"/>
    <cellStyle name="Hyperlink" xfId="3674" builtinId="8" hidden="1"/>
    <cellStyle name="Hyperlink" xfId="3676" builtinId="8" hidden="1"/>
    <cellStyle name="Hyperlink" xfId="3678" builtinId="8" hidden="1"/>
    <cellStyle name="Hyperlink" xfId="3680" builtinId="8" hidden="1"/>
    <cellStyle name="Hyperlink" xfId="3682" builtinId="8" hidden="1"/>
    <cellStyle name="Hyperlink" xfId="3684" builtinId="8" hidden="1"/>
    <cellStyle name="Hyperlink" xfId="3686" builtinId="8" hidden="1"/>
    <cellStyle name="Hyperlink" xfId="3688" builtinId="8" hidden="1"/>
    <cellStyle name="Hyperlink" xfId="3690" builtinId="8" hidden="1"/>
    <cellStyle name="Hyperlink" xfId="3692" builtinId="8" hidden="1"/>
    <cellStyle name="Hyperlink" xfId="3694" builtinId="8" hidden="1"/>
    <cellStyle name="Hyperlink" xfId="3696" builtinId="8" hidden="1"/>
    <cellStyle name="Hyperlink" xfId="3698" builtinId="8" hidden="1"/>
    <cellStyle name="Hyperlink" xfId="3700" builtinId="8" hidden="1"/>
    <cellStyle name="Hyperlink" xfId="3702" builtinId="8" hidden="1"/>
    <cellStyle name="Hyperlink" xfId="3704" builtinId="8" hidden="1"/>
    <cellStyle name="Hyperlink" xfId="3706" builtinId="8" hidden="1"/>
    <cellStyle name="Hyperlink" xfId="3708" builtinId="8" hidden="1"/>
    <cellStyle name="Hyperlink" xfId="3710" builtinId="8" hidden="1"/>
    <cellStyle name="Hyperlink" xfId="3712" builtinId="8" hidden="1"/>
    <cellStyle name="Hyperlink" xfId="3714" builtinId="8" hidden="1"/>
    <cellStyle name="Hyperlink" xfId="3716" builtinId="8" hidden="1"/>
    <cellStyle name="Hyperlink" xfId="3718" builtinId="8" hidden="1"/>
    <cellStyle name="Hyperlink" xfId="3720" builtinId="8" hidden="1"/>
    <cellStyle name="Hyperlink" xfId="3722" builtinId="8" hidden="1"/>
    <cellStyle name="Hyperlink" xfId="3724" builtinId="8" hidden="1"/>
    <cellStyle name="Hyperlink" xfId="3726" builtinId="8" hidden="1"/>
    <cellStyle name="Hyperlink" xfId="3728" builtinId="8" hidden="1"/>
    <cellStyle name="Hyperlink" xfId="3730" builtinId="8" hidden="1"/>
    <cellStyle name="Hyperlink" xfId="3732" builtinId="8" hidden="1"/>
    <cellStyle name="Hyperlink" xfId="3734" builtinId="8" hidden="1"/>
    <cellStyle name="Hyperlink" xfId="3736" builtinId="8" hidden="1"/>
    <cellStyle name="Hyperlink" xfId="3738" builtinId="8" hidden="1"/>
    <cellStyle name="Hyperlink" xfId="3740" builtinId="8" hidden="1"/>
    <cellStyle name="Hyperlink" xfId="3742" builtinId="8" hidden="1"/>
    <cellStyle name="Hyperlink" xfId="3744" builtinId="8" hidden="1"/>
    <cellStyle name="Hyperlink" xfId="3746" builtinId="8" hidden="1"/>
    <cellStyle name="Hyperlink" xfId="3748" builtinId="8" hidden="1"/>
    <cellStyle name="Hyperlink" xfId="3750" builtinId="8" hidden="1"/>
    <cellStyle name="Hyperlink" xfId="3752" builtinId="8" hidden="1"/>
    <cellStyle name="Hyperlink" xfId="3754" builtinId="8" hidden="1"/>
    <cellStyle name="Hyperlink" xfId="3756" builtinId="8" hidden="1"/>
    <cellStyle name="Hyperlink" xfId="3758" builtinId="8" hidden="1"/>
    <cellStyle name="Hyperlink" xfId="3760" builtinId="8" hidden="1"/>
    <cellStyle name="Hyperlink" xfId="3762" builtinId="8" hidden="1"/>
    <cellStyle name="Hyperlink" xfId="3764" builtinId="8" hidden="1"/>
    <cellStyle name="Hyperlink" xfId="3766" builtinId="8" hidden="1"/>
    <cellStyle name="Hyperlink" xfId="3768" builtinId="8" hidden="1"/>
    <cellStyle name="Hyperlink" xfId="3770" builtinId="8" hidden="1"/>
    <cellStyle name="Hyperlink" xfId="3772" builtinId="8" hidden="1"/>
    <cellStyle name="Hyperlink" xfId="3774" builtinId="8" hidden="1"/>
    <cellStyle name="Hyperlink" xfId="3776" builtinId="8" hidden="1"/>
    <cellStyle name="Hyperlink" xfId="3778" builtinId="8" hidden="1"/>
    <cellStyle name="Hyperlink" xfId="3780" builtinId="8" hidden="1"/>
    <cellStyle name="Hyperlink" xfId="3782" builtinId="8" hidden="1"/>
    <cellStyle name="Hyperlink" xfId="3784" builtinId="8" hidden="1"/>
    <cellStyle name="Hyperlink" xfId="3786" builtinId="8" hidden="1"/>
    <cellStyle name="Hyperlink" xfId="3788" builtinId="8" hidden="1"/>
    <cellStyle name="Hyperlink" xfId="3790" builtinId="8" hidden="1"/>
    <cellStyle name="Hyperlink" xfId="3792" builtinId="8" hidden="1"/>
    <cellStyle name="Hyperlink" xfId="3794" builtinId="8" hidden="1"/>
    <cellStyle name="Hyperlink" xfId="3796" builtinId="8" hidden="1"/>
    <cellStyle name="Hyperlink" xfId="3798" builtinId="8" hidden="1"/>
    <cellStyle name="Hyperlink" xfId="3800" builtinId="8" hidden="1"/>
    <cellStyle name="Hyperlink" xfId="3802" builtinId="8" hidden="1"/>
    <cellStyle name="Hyperlink" xfId="3804" builtinId="8" hidden="1"/>
    <cellStyle name="Hyperlink" xfId="3806" builtinId="8" hidden="1"/>
    <cellStyle name="Hyperlink" xfId="3808" builtinId="8" hidden="1"/>
    <cellStyle name="Hyperlink" xfId="3810" builtinId="8" hidden="1"/>
    <cellStyle name="Hyperlink" xfId="3812" builtinId="8" hidden="1"/>
    <cellStyle name="Hyperlink" xfId="3814" builtinId="8" hidden="1"/>
    <cellStyle name="Hyperlink" xfId="3816" builtinId="8" hidden="1"/>
    <cellStyle name="Hyperlink" xfId="3818" builtinId="8" hidden="1"/>
    <cellStyle name="Hyperlink" xfId="3820" builtinId="8" hidden="1"/>
    <cellStyle name="Hyperlink" xfId="3822" builtinId="8" hidden="1"/>
    <cellStyle name="Hyperlink" xfId="3824" builtinId="8" hidden="1"/>
    <cellStyle name="Hyperlink" xfId="3826" builtinId="8" hidden="1"/>
    <cellStyle name="Hyperlink" xfId="3828" builtinId="8" hidden="1"/>
    <cellStyle name="Hyperlink" xfId="3830" builtinId="8" hidden="1"/>
    <cellStyle name="Hyperlink" xfId="3832" builtinId="8" hidden="1"/>
    <cellStyle name="Hyperlink" xfId="3834" builtinId="8" hidden="1"/>
    <cellStyle name="Hyperlink" xfId="3836" builtinId="8" hidden="1"/>
    <cellStyle name="Hyperlink" xfId="3838" builtinId="8" hidden="1"/>
    <cellStyle name="Hyperlink" xfId="3840" builtinId="8" hidden="1"/>
    <cellStyle name="Hyperlink" xfId="3842" builtinId="8" hidden="1"/>
    <cellStyle name="Hyperlink" xfId="3844" builtinId="8" hidden="1"/>
    <cellStyle name="Hyperlink" xfId="3846" builtinId="8" hidden="1"/>
    <cellStyle name="Hyperlink" xfId="3848" builtinId="8" hidden="1"/>
    <cellStyle name="Hyperlink" xfId="3850" builtinId="8" hidden="1"/>
    <cellStyle name="Hyperlink" xfId="3852" builtinId="8" hidden="1"/>
    <cellStyle name="Hyperlink" xfId="3854" builtinId="8" hidden="1"/>
    <cellStyle name="Hyperlink" xfId="3856" builtinId="8" hidden="1"/>
    <cellStyle name="Hyperlink" xfId="3858" builtinId="8" hidden="1"/>
    <cellStyle name="Hyperlink" xfId="3860" builtinId="8" hidden="1"/>
    <cellStyle name="Hyperlink" xfId="3862" builtinId="8" hidden="1"/>
    <cellStyle name="Hyperlink" xfId="3864" builtinId="8" hidden="1"/>
    <cellStyle name="Hyperlink" xfId="3866" builtinId="8" hidden="1"/>
    <cellStyle name="Hyperlink" xfId="3868" builtinId="8" hidden="1"/>
    <cellStyle name="Hyperlink" xfId="3870" builtinId="8" hidden="1"/>
    <cellStyle name="Hyperlink" xfId="3872" builtinId="8" hidden="1"/>
    <cellStyle name="Hyperlink" xfId="3874" builtinId="8" hidden="1"/>
    <cellStyle name="Hyperlink" xfId="3876" builtinId="8" hidden="1"/>
    <cellStyle name="Hyperlink" xfId="3878" builtinId="8" hidden="1"/>
    <cellStyle name="Hyperlink" xfId="3880" builtinId="8" hidden="1"/>
    <cellStyle name="Hyperlink" xfId="3882" builtinId="8" hidden="1"/>
    <cellStyle name="Hyperlink" xfId="3884" builtinId="8" hidden="1"/>
    <cellStyle name="Hyperlink" xfId="3886" builtinId="8" hidden="1"/>
    <cellStyle name="Hyperlink" xfId="3888" builtinId="8" hidden="1"/>
    <cellStyle name="Hyperlink" xfId="3890" builtinId="8" hidden="1"/>
    <cellStyle name="Hyperlink" xfId="3892" builtinId="8" hidden="1"/>
    <cellStyle name="Hyperlink" xfId="3894" builtinId="8" hidden="1"/>
    <cellStyle name="Hyperlink" xfId="3896" builtinId="8" hidden="1"/>
    <cellStyle name="Hyperlink" xfId="3898" builtinId="8" hidden="1"/>
    <cellStyle name="Hyperlink" xfId="3900" builtinId="8" hidden="1"/>
    <cellStyle name="Hyperlink" xfId="3902" builtinId="8" hidden="1"/>
    <cellStyle name="Hyperlink" xfId="3904" builtinId="8" hidden="1"/>
    <cellStyle name="Hyperlink" xfId="3906" builtinId="8" hidden="1"/>
    <cellStyle name="Hyperlink" xfId="3908" builtinId="8" hidden="1"/>
    <cellStyle name="Hyperlink" xfId="3910" builtinId="8" hidden="1"/>
    <cellStyle name="Hyperlink" xfId="3912" builtinId="8" hidden="1"/>
    <cellStyle name="Hyperlink" xfId="3914" builtinId="8" hidden="1"/>
    <cellStyle name="Hyperlink" xfId="3916" builtinId="8" hidden="1"/>
    <cellStyle name="Hyperlink" xfId="3918" builtinId="8" hidden="1"/>
    <cellStyle name="Hyperlink" xfId="3920" builtinId="8" hidden="1"/>
    <cellStyle name="Hyperlink" xfId="3922" builtinId="8" hidden="1"/>
    <cellStyle name="Hyperlink" xfId="3924" builtinId="8" hidden="1"/>
    <cellStyle name="Hyperlink" xfId="3926" builtinId="8" hidden="1"/>
    <cellStyle name="Hyperlink" xfId="3928" builtinId="8" hidden="1"/>
    <cellStyle name="Hyperlink" xfId="3930" builtinId="8" hidden="1"/>
    <cellStyle name="Hyperlink" xfId="3932" builtinId="8" hidden="1"/>
    <cellStyle name="Hyperlink" xfId="3934" builtinId="8" hidden="1"/>
    <cellStyle name="Hyperlink" xfId="3936" builtinId="8" hidden="1"/>
    <cellStyle name="Hyperlink" xfId="3938" builtinId="8" hidden="1"/>
    <cellStyle name="Hyperlink" xfId="3940" builtinId="8" hidden="1"/>
    <cellStyle name="Hyperlink" xfId="3942" builtinId="8" hidden="1"/>
    <cellStyle name="Hyperlink" xfId="3944" builtinId="8" hidden="1"/>
    <cellStyle name="Hyperlink" xfId="3946" builtinId="8" hidden="1"/>
    <cellStyle name="Hyperlink" xfId="3948" builtinId="8" hidden="1"/>
    <cellStyle name="Hyperlink" xfId="3950" builtinId="8" hidden="1"/>
    <cellStyle name="Hyperlink" xfId="3952" builtinId="8" hidden="1"/>
    <cellStyle name="Hyperlink" xfId="3954" builtinId="8" hidden="1"/>
    <cellStyle name="Hyperlink" xfId="3956" builtinId="8" hidden="1"/>
    <cellStyle name="Hyperlink" xfId="3958" builtinId="8" hidden="1"/>
    <cellStyle name="Hyperlink" xfId="3960" builtinId="8" hidden="1"/>
    <cellStyle name="Hyperlink" xfId="3962" builtinId="8" hidden="1"/>
    <cellStyle name="Hyperlink" xfId="3964" builtinId="8" hidden="1"/>
    <cellStyle name="Hyperlink" xfId="3966" builtinId="8" hidden="1"/>
    <cellStyle name="Hyperlink" xfId="3968" builtinId="8" hidden="1"/>
    <cellStyle name="Hyperlink" xfId="3970" builtinId="8" hidden="1"/>
    <cellStyle name="Hyperlink" xfId="3972" builtinId="8" hidden="1"/>
    <cellStyle name="Hyperlink" xfId="3974" builtinId="8" hidden="1"/>
    <cellStyle name="Hyperlink" xfId="3976" builtinId="8" hidden="1"/>
    <cellStyle name="Hyperlink" xfId="3978" builtinId="8" hidden="1"/>
    <cellStyle name="Hyperlink" xfId="3980" builtinId="8" hidden="1"/>
    <cellStyle name="Hyperlink" xfId="3982" builtinId="8" hidden="1"/>
    <cellStyle name="Hyperlink" xfId="3984" builtinId="8" hidden="1"/>
    <cellStyle name="Hyperlink" xfId="3986" builtinId="8" hidden="1"/>
    <cellStyle name="Hyperlink" xfId="3988" builtinId="8" hidden="1"/>
    <cellStyle name="Hyperlink" xfId="3990" builtinId="8" hidden="1"/>
    <cellStyle name="Hyperlink" xfId="3992" builtinId="8" hidden="1"/>
    <cellStyle name="Hyperlink" xfId="3994" builtinId="8" hidden="1"/>
    <cellStyle name="Hyperlink" xfId="3996" builtinId="8" hidden="1"/>
    <cellStyle name="Hyperlink" xfId="3998" builtinId="8" hidden="1"/>
    <cellStyle name="Hyperlink" xfId="4000" builtinId="8" hidden="1"/>
    <cellStyle name="Hyperlink" xfId="4002" builtinId="8" hidden="1"/>
    <cellStyle name="Hyperlink" xfId="4004" builtinId="8" hidden="1"/>
    <cellStyle name="Hyperlink" xfId="4006" builtinId="8" hidden="1"/>
    <cellStyle name="Hyperlink" xfId="4008" builtinId="8" hidden="1"/>
    <cellStyle name="Hyperlink" xfId="4010" builtinId="8" hidden="1"/>
    <cellStyle name="Hyperlink" xfId="4012" builtinId="8" hidden="1"/>
    <cellStyle name="Hyperlink" xfId="4014" builtinId="8" hidden="1"/>
    <cellStyle name="Hyperlink" xfId="4016" builtinId="8" hidden="1"/>
    <cellStyle name="Hyperlink" xfId="4018" builtinId="8" hidden="1"/>
    <cellStyle name="Hyperlink" xfId="4020" builtinId="8" hidden="1"/>
    <cellStyle name="Hyperlink" xfId="4022" builtinId="8" hidden="1"/>
    <cellStyle name="Hyperlink" xfId="4024" builtinId="8" hidden="1"/>
    <cellStyle name="Hyperlink" xfId="4026" builtinId="8" hidden="1"/>
    <cellStyle name="Hyperlink" xfId="4028" builtinId="8" hidden="1"/>
    <cellStyle name="Hyperlink" xfId="4030" builtinId="8" hidden="1"/>
    <cellStyle name="Hyperlink" xfId="4032" builtinId="8" hidden="1"/>
    <cellStyle name="Hyperlink" xfId="4034" builtinId="8" hidden="1"/>
    <cellStyle name="Hyperlink" xfId="4036" builtinId="8" hidden="1"/>
    <cellStyle name="Hyperlink" xfId="4038" builtinId="8" hidden="1"/>
    <cellStyle name="Hyperlink" xfId="4040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100" builtinId="8" hidden="1"/>
    <cellStyle name="Hyperlink" xfId="4102" builtinId="8" hidden="1"/>
    <cellStyle name="Hyperlink" xfId="4104" builtinId="8" hidden="1"/>
    <cellStyle name="Hyperlink" xfId="4106" builtinId="8" hidden="1"/>
    <cellStyle name="Hyperlink" xfId="4108" builtinId="8" hidden="1"/>
    <cellStyle name="Hyperlink" xfId="4110" builtinId="8" hidden="1"/>
    <cellStyle name="Hyperlink" xfId="4112" builtinId="8" hidden="1"/>
    <cellStyle name="Hyperlink" xfId="4114" builtinId="8" hidden="1"/>
    <cellStyle name="Hyperlink" xfId="4116" builtinId="8" hidden="1"/>
    <cellStyle name="Hyperlink" xfId="4118" builtinId="8" hidden="1"/>
    <cellStyle name="Hyperlink" xfId="4120" builtinId="8" hidden="1"/>
    <cellStyle name="Hyperlink" xfId="4122" builtinId="8" hidden="1"/>
    <cellStyle name="Hyperlink" xfId="4124" builtinId="8" hidden="1"/>
    <cellStyle name="Hyperlink" xfId="4126" builtinId="8" hidden="1"/>
    <cellStyle name="Hyperlink" xfId="4128" builtinId="8" hidden="1"/>
    <cellStyle name="Hyperlink" xfId="4130" builtinId="8" hidden="1"/>
    <cellStyle name="Hyperlink" xfId="4132" builtinId="8" hidden="1"/>
    <cellStyle name="Hyperlink" xfId="4134" builtinId="8" hidden="1"/>
    <cellStyle name="Hyperlink" xfId="4136" builtinId="8" hidden="1"/>
    <cellStyle name="Hyperlink" xfId="4138" builtinId="8" hidden="1"/>
    <cellStyle name="Hyperlink" xfId="4140" builtinId="8" hidden="1"/>
    <cellStyle name="Hyperlink" xfId="4142" builtinId="8" hidden="1"/>
    <cellStyle name="Hyperlink" xfId="4144" builtinId="8" hidden="1"/>
    <cellStyle name="Hyperlink" xfId="4146" builtinId="8" hidden="1"/>
    <cellStyle name="Hyperlink" xfId="4148" builtinId="8" hidden="1"/>
    <cellStyle name="Hyperlink" xfId="4150" builtinId="8" hidden="1"/>
    <cellStyle name="Hyperlink" xfId="4152" builtinId="8" hidden="1"/>
    <cellStyle name="Hyperlink" xfId="4154" builtinId="8" hidden="1"/>
    <cellStyle name="Hyperlink" xfId="4156" builtinId="8" hidden="1"/>
    <cellStyle name="Hyperlink" xfId="4158" builtinId="8" hidden="1"/>
    <cellStyle name="Hyperlink" xfId="4160" builtinId="8" hidden="1"/>
    <cellStyle name="Hyperlink" xfId="4162" builtinId="8" hidden="1"/>
    <cellStyle name="Hyperlink" xfId="4164" builtinId="8" hidden="1"/>
    <cellStyle name="Hyperlink" xfId="4166" builtinId="8" hidden="1"/>
    <cellStyle name="Hyperlink" xfId="4168" builtinId="8" hidden="1"/>
    <cellStyle name="Hyperlink" xfId="4170" builtinId="8" hidden="1"/>
    <cellStyle name="Hyperlink" xfId="4172" builtinId="8" hidden="1"/>
    <cellStyle name="Hyperlink" xfId="4174" builtinId="8" hidden="1"/>
    <cellStyle name="Hyperlink" xfId="4176" builtinId="8" hidden="1"/>
    <cellStyle name="Hyperlink" xfId="4178" builtinId="8" hidden="1"/>
    <cellStyle name="Hyperlink" xfId="4180" builtinId="8" hidden="1"/>
    <cellStyle name="Hyperlink" xfId="4182" builtinId="8" hidden="1"/>
    <cellStyle name="Hyperlink" xfId="4184" builtinId="8" hidden="1"/>
    <cellStyle name="Hyperlink" xfId="4186" builtinId="8" hidden="1"/>
    <cellStyle name="Hyperlink" xfId="4188" builtinId="8" hidden="1"/>
    <cellStyle name="Hyperlink" xfId="4190" builtinId="8" hidden="1"/>
    <cellStyle name="Hyperlink" xfId="4192" builtinId="8" hidden="1"/>
    <cellStyle name="Hyperlink" xfId="4194" builtinId="8" hidden="1"/>
    <cellStyle name="Hyperlink" xfId="4196" builtinId="8" hidden="1"/>
    <cellStyle name="Hyperlink" xfId="4198" builtinId="8" hidden="1"/>
    <cellStyle name="Hyperlink" xfId="4200" builtinId="8" hidden="1"/>
    <cellStyle name="Hyperlink" xfId="4202" builtinId="8" hidden="1"/>
    <cellStyle name="Hyperlink" xfId="4204" builtinId="8" hidden="1"/>
    <cellStyle name="Hyperlink" xfId="4206" builtinId="8" hidden="1"/>
    <cellStyle name="Hyperlink" xfId="4208" builtinId="8" hidden="1"/>
    <cellStyle name="Hyperlink" xfId="4210" builtinId="8" hidden="1"/>
    <cellStyle name="Hyperlink" xfId="4212" builtinId="8" hidden="1"/>
    <cellStyle name="Hyperlink" xfId="4214" builtinId="8" hidden="1"/>
    <cellStyle name="Hyperlink" xfId="4216" builtinId="8" hidden="1"/>
    <cellStyle name="Hyperlink" xfId="4218" builtinId="8" hidden="1"/>
    <cellStyle name="Hyperlink" xfId="4220" builtinId="8" hidden="1"/>
    <cellStyle name="Hyperlink" xfId="4222" builtinId="8" hidden="1"/>
    <cellStyle name="Hyperlink" xfId="4224" builtinId="8" hidden="1"/>
    <cellStyle name="Hyperlink" xfId="4226" builtinId="8" hidden="1"/>
    <cellStyle name="Hyperlink" xfId="4228" builtinId="8" hidden="1"/>
    <cellStyle name="Hyperlink" xfId="4230" builtinId="8" hidden="1"/>
    <cellStyle name="Hyperlink" xfId="4232" builtinId="8" hidden="1"/>
    <cellStyle name="Hyperlink" xfId="4234" builtinId="8" hidden="1"/>
    <cellStyle name="Hyperlink" xfId="4236" builtinId="8" hidden="1"/>
    <cellStyle name="Hyperlink" xfId="4238" builtinId="8" hidden="1"/>
    <cellStyle name="Hyperlink" xfId="4240" builtinId="8" hidden="1"/>
    <cellStyle name="Hyperlink" xfId="4242" builtinId="8" hidden="1"/>
    <cellStyle name="Hyperlink" xfId="4244" builtinId="8" hidden="1"/>
    <cellStyle name="Hyperlink" xfId="4246" builtinId="8" hidden="1"/>
    <cellStyle name="Hyperlink" xfId="4248" builtinId="8" hidden="1"/>
    <cellStyle name="Hyperlink" xfId="4250" builtinId="8" hidden="1"/>
    <cellStyle name="Hyperlink" xfId="4252" builtinId="8" hidden="1"/>
    <cellStyle name="Hyperlink" xfId="4254" builtinId="8" hidden="1"/>
    <cellStyle name="Hyperlink" xfId="4256" builtinId="8" hidden="1"/>
    <cellStyle name="Hyperlink" xfId="4258" builtinId="8" hidden="1"/>
    <cellStyle name="Hyperlink" xfId="4260" builtinId="8" hidden="1"/>
    <cellStyle name="Hyperlink" xfId="4262" builtinId="8" hidden="1"/>
    <cellStyle name="Hyperlink" xfId="4264" builtinId="8" hidden="1"/>
    <cellStyle name="Hyperlink" xfId="4266" builtinId="8" hidden="1"/>
    <cellStyle name="Hyperlink" xfId="4268" builtinId="8" hidden="1"/>
    <cellStyle name="Hyperlink" xfId="4270" builtinId="8" hidden="1"/>
    <cellStyle name="Hyperlink" xfId="4272" builtinId="8" hidden="1"/>
    <cellStyle name="Hyperlink" xfId="4274" builtinId="8" hidden="1"/>
    <cellStyle name="Hyperlink" xfId="4276" builtinId="8" hidden="1"/>
    <cellStyle name="Hyperlink" xfId="4278" builtinId="8" hidden="1"/>
    <cellStyle name="Hyperlink" xfId="4280" builtinId="8" hidden="1"/>
    <cellStyle name="Hyperlink" xfId="4282" builtinId="8" hidden="1"/>
    <cellStyle name="Hyperlink" xfId="4284" builtinId="8" hidden="1"/>
    <cellStyle name="Hyperlink" xfId="4286" builtinId="8" hidden="1"/>
    <cellStyle name="Hyperlink" xfId="4288" builtinId="8" hidden="1"/>
    <cellStyle name="Hyperlink" xfId="4290" builtinId="8" hidden="1"/>
    <cellStyle name="Hyperlink" xfId="4292" builtinId="8" hidden="1"/>
    <cellStyle name="Hyperlink" xfId="4294" builtinId="8" hidden="1"/>
    <cellStyle name="Hyperlink" xfId="4296" builtinId="8" hidden="1"/>
    <cellStyle name="Hyperlink" xfId="4298" builtinId="8" hidden="1"/>
    <cellStyle name="Hyperlink" xfId="4300" builtinId="8" hidden="1"/>
    <cellStyle name="Hyperlink" xfId="4302" builtinId="8" hidden="1"/>
    <cellStyle name="Hyperlink" xfId="4304" builtinId="8" hidden="1"/>
    <cellStyle name="Hyperlink" xfId="4306" builtinId="8" hidden="1"/>
    <cellStyle name="Hyperlink" xfId="4308" builtinId="8" hidden="1"/>
    <cellStyle name="Hyperlink" xfId="4310" builtinId="8" hidden="1"/>
    <cellStyle name="Hyperlink" xfId="4312" builtinId="8" hidden="1"/>
    <cellStyle name="Hyperlink" xfId="4314" builtinId="8" hidden="1"/>
    <cellStyle name="Hyperlink" xfId="4316" builtinId="8" hidden="1"/>
    <cellStyle name="Hyperlink" xfId="4318" builtinId="8" hidden="1"/>
    <cellStyle name="Hyperlink" xfId="4320" builtinId="8" hidden="1"/>
    <cellStyle name="Hyperlink" xfId="4322" builtinId="8" hidden="1"/>
    <cellStyle name="Hyperlink" xfId="4324" builtinId="8" hidden="1"/>
    <cellStyle name="Hyperlink" xfId="4326" builtinId="8" hidden="1"/>
    <cellStyle name="Hyperlink" xfId="4328" builtinId="8" hidden="1"/>
    <cellStyle name="Hyperlink" xfId="4330" builtinId="8" hidden="1"/>
    <cellStyle name="Hyperlink" xfId="4332" builtinId="8" hidden="1"/>
    <cellStyle name="Hyperlink" xfId="4334" builtinId="8" hidden="1"/>
    <cellStyle name="Hyperlink" xfId="4336" builtinId="8" hidden="1"/>
    <cellStyle name="Hyperlink" xfId="4338" builtinId="8" hidden="1"/>
    <cellStyle name="Hyperlink" xfId="4340" builtinId="8" hidden="1"/>
    <cellStyle name="Hyperlink" xfId="4342" builtinId="8" hidden="1"/>
    <cellStyle name="Hyperlink" xfId="4344" builtinId="8" hidden="1"/>
    <cellStyle name="Hyperlink" xfId="4346" builtinId="8" hidden="1"/>
    <cellStyle name="Hyperlink" xfId="4348" builtinId="8" hidden="1"/>
    <cellStyle name="Hyperlink" xfId="4350" builtinId="8" hidden="1"/>
    <cellStyle name="Hyperlink" xfId="4352" builtinId="8" hidden="1"/>
    <cellStyle name="Hyperlink" xfId="4354" builtinId="8" hidden="1"/>
    <cellStyle name="Hyperlink" xfId="4356" builtinId="8" hidden="1"/>
    <cellStyle name="Hyperlink" xfId="4358" builtinId="8" hidden="1"/>
    <cellStyle name="Hyperlink" xfId="4360" builtinId="8" hidden="1"/>
    <cellStyle name="Hyperlink" xfId="4362" builtinId="8" hidden="1"/>
    <cellStyle name="Hyperlink" xfId="4364" builtinId="8" hidden="1"/>
    <cellStyle name="Hyperlink" xfId="4366" builtinId="8" hidden="1"/>
    <cellStyle name="Hyperlink" xfId="4368" builtinId="8" hidden="1"/>
    <cellStyle name="Hyperlink" xfId="4370" builtinId="8" hidden="1"/>
    <cellStyle name="Hyperlink" xfId="4372" builtinId="8" hidden="1"/>
    <cellStyle name="Hyperlink" xfId="4374" builtinId="8" hidden="1"/>
    <cellStyle name="Hyperlink" xfId="4376" builtinId="8" hidden="1"/>
    <cellStyle name="Hyperlink" xfId="4378" builtinId="8" hidden="1"/>
    <cellStyle name="Hyperlink" xfId="4380" builtinId="8" hidden="1"/>
    <cellStyle name="Hyperlink" xfId="4382" builtinId="8" hidden="1"/>
    <cellStyle name="Hyperlink" xfId="4384" builtinId="8" hidden="1"/>
    <cellStyle name="Hyperlink" xfId="4386" builtinId="8" hidden="1"/>
    <cellStyle name="Hyperlink" xfId="4388" builtinId="8" hidden="1"/>
    <cellStyle name="Hyperlink" xfId="4390" builtinId="8" hidden="1"/>
    <cellStyle name="Hyperlink" xfId="4392" builtinId="8" hidden="1"/>
    <cellStyle name="Hyperlink" xfId="4394" builtinId="8" hidden="1"/>
    <cellStyle name="Hyperlink" xfId="4396" builtinId="8" hidden="1"/>
    <cellStyle name="Hyperlink" xfId="4398" builtinId="8" hidden="1"/>
    <cellStyle name="Hyperlink" xfId="4400" builtinId="8" hidden="1"/>
    <cellStyle name="Hyperlink" xfId="4402" builtinId="8" hidden="1"/>
    <cellStyle name="Hyperlink" xfId="4404" builtinId="8" hidden="1"/>
    <cellStyle name="Hyperlink" xfId="4406" builtinId="8" hidden="1"/>
    <cellStyle name="Hyperlink" xfId="4408" builtinId="8" hidden="1"/>
    <cellStyle name="Hyperlink" xfId="4410" builtinId="8" hidden="1"/>
    <cellStyle name="Hyperlink" xfId="4412" builtinId="8" hidden="1"/>
    <cellStyle name="Hyperlink" xfId="4414" builtinId="8" hidden="1"/>
    <cellStyle name="Hyperlink" xfId="4416" builtinId="8" hidden="1"/>
    <cellStyle name="Hyperlink" xfId="4418" builtinId="8" hidden="1"/>
    <cellStyle name="Hyperlink" xfId="4420" builtinId="8" hidden="1"/>
    <cellStyle name="Hyperlink" xfId="4422" builtinId="8" hidden="1"/>
    <cellStyle name="Hyperlink" xfId="4424" builtinId="8" hidden="1"/>
    <cellStyle name="Hyperlink" xfId="4426" builtinId="8" hidden="1"/>
    <cellStyle name="Hyperlink" xfId="4428" builtinId="8" hidden="1"/>
    <cellStyle name="Hyperlink" xfId="4430" builtinId="8" hidden="1"/>
    <cellStyle name="Hyperlink" xfId="4432" builtinId="8" hidden="1"/>
    <cellStyle name="Hyperlink" xfId="4434" builtinId="8" hidden="1"/>
    <cellStyle name="Hyperlink" xfId="4436" builtinId="8" hidden="1"/>
    <cellStyle name="Hyperlink" xfId="4438" builtinId="8" hidden="1"/>
    <cellStyle name="Hyperlink" xfId="4440" builtinId="8" hidden="1"/>
    <cellStyle name="Hyperlink" xfId="4442" builtinId="8" hidden="1"/>
    <cellStyle name="Hyperlink" xfId="4444" builtinId="8" hidden="1"/>
    <cellStyle name="Hyperlink" xfId="4446" builtinId="8" hidden="1"/>
    <cellStyle name="Hyperlink" xfId="4448" builtinId="8" hidden="1"/>
    <cellStyle name="Hyperlink" xfId="4450" builtinId="8" hidden="1"/>
    <cellStyle name="Hyperlink" xfId="4452" builtinId="8" hidden="1"/>
    <cellStyle name="Hyperlink" xfId="4454" builtinId="8" hidden="1"/>
    <cellStyle name="Hyperlink" xfId="4456" builtinId="8" hidden="1"/>
    <cellStyle name="Hyperlink" xfId="4458" builtinId="8" hidden="1"/>
    <cellStyle name="Hyperlink" xfId="4460" builtinId="8" hidden="1"/>
    <cellStyle name="Hyperlink" xfId="4462" builtinId="8" hidden="1"/>
    <cellStyle name="Hyperlink" xfId="4464" builtinId="8" hidden="1"/>
    <cellStyle name="Hyperlink" xfId="4466" builtinId="8" hidden="1"/>
    <cellStyle name="Hyperlink" xfId="4468" builtinId="8" hidden="1"/>
    <cellStyle name="Hyperlink" xfId="4470" builtinId="8" hidden="1"/>
    <cellStyle name="Hyperlink" xfId="4472" builtinId="8" hidden="1"/>
    <cellStyle name="Hyperlink" xfId="4474" builtinId="8" hidden="1"/>
    <cellStyle name="Hyperlink" xfId="4476" builtinId="8" hidden="1"/>
    <cellStyle name="Hyperlink" xfId="4478" builtinId="8" hidden="1"/>
    <cellStyle name="Hyperlink" xfId="4480" builtinId="8" hidden="1"/>
    <cellStyle name="Hyperlink" xfId="4482" builtinId="8" hidden="1"/>
    <cellStyle name="Hyperlink" xfId="4484" builtinId="8" hidden="1"/>
    <cellStyle name="Hyperlink" xfId="4486" builtinId="8" hidden="1"/>
    <cellStyle name="Hyperlink" xfId="4488" builtinId="8" hidden="1"/>
    <cellStyle name="Hyperlink" xfId="4490" builtinId="8" hidden="1"/>
    <cellStyle name="Hyperlink" xfId="4492" builtinId="8" hidden="1"/>
    <cellStyle name="Hyperlink" xfId="4494" builtinId="8" hidden="1"/>
    <cellStyle name="Hyperlink" xfId="4496" builtinId="8" hidden="1"/>
    <cellStyle name="Hyperlink" xfId="4498" builtinId="8" hidden="1"/>
    <cellStyle name="Hyperlink" xfId="4500" builtinId="8" hidden="1"/>
    <cellStyle name="Hyperlink" xfId="4502" builtinId="8" hidden="1"/>
    <cellStyle name="Hyperlink" xfId="4504" builtinId="8" hidden="1"/>
    <cellStyle name="Hyperlink" xfId="4506" builtinId="8" hidden="1"/>
    <cellStyle name="Hyperlink" xfId="4508" builtinId="8" hidden="1"/>
    <cellStyle name="Hyperlink" xfId="4510" builtinId="8" hidden="1"/>
    <cellStyle name="Hyperlink" xfId="4512" builtinId="8" hidden="1"/>
    <cellStyle name="Hyperlink" xfId="4514" builtinId="8" hidden="1"/>
    <cellStyle name="Hyperlink" xfId="4516" builtinId="8" hidden="1"/>
    <cellStyle name="Hyperlink" xfId="4518" builtinId="8" hidden="1"/>
    <cellStyle name="Hyperlink" xfId="4520" builtinId="8" hidden="1"/>
    <cellStyle name="Hyperlink" xfId="4522" builtinId="8" hidden="1"/>
    <cellStyle name="Hyperlink" xfId="4524" builtinId="8" hidden="1"/>
    <cellStyle name="Hyperlink" xfId="4526" builtinId="8" hidden="1"/>
    <cellStyle name="Hyperlink" xfId="4528" builtinId="8" hidden="1"/>
    <cellStyle name="Hyperlink" xfId="4530" builtinId="8" hidden="1"/>
    <cellStyle name="Hyperlink" xfId="4532" builtinId="8" hidden="1"/>
    <cellStyle name="Hyperlink" xfId="4534" builtinId="8" hidden="1"/>
    <cellStyle name="Hyperlink" xfId="4536" builtinId="8" hidden="1"/>
    <cellStyle name="Hyperlink" xfId="4538" builtinId="8" hidden="1"/>
    <cellStyle name="Hyperlink" xfId="4540" builtinId="8" hidden="1"/>
    <cellStyle name="Hyperlink" xfId="4542" builtinId="8" hidden="1"/>
    <cellStyle name="Hyperlink" xfId="4544" builtinId="8" hidden="1"/>
    <cellStyle name="Hyperlink" xfId="4546" builtinId="8" hidden="1"/>
    <cellStyle name="Hyperlink" xfId="4548" builtinId="8" hidden="1"/>
    <cellStyle name="Hyperlink" xfId="4550" builtinId="8" hidden="1"/>
    <cellStyle name="Hyperlink" xfId="4552" builtinId="8" hidden="1"/>
    <cellStyle name="Hyperlink" xfId="4554" builtinId="8" hidden="1"/>
    <cellStyle name="Hyperlink" xfId="4556" builtinId="8" hidden="1"/>
    <cellStyle name="Hyperlink" xfId="4558" builtinId="8" hidden="1"/>
    <cellStyle name="Hyperlink" xfId="4560" builtinId="8" hidden="1"/>
    <cellStyle name="Hyperlink" xfId="4562" builtinId="8" hidden="1"/>
    <cellStyle name="Hyperlink" xfId="4564" builtinId="8" hidden="1"/>
    <cellStyle name="Hyperlink" xfId="4566" builtinId="8" hidden="1"/>
    <cellStyle name="Hyperlink" xfId="4568" builtinId="8" hidden="1"/>
    <cellStyle name="Hyperlink" xfId="4570" builtinId="8" hidden="1"/>
    <cellStyle name="Hyperlink" xfId="4572" builtinId="8" hidden="1"/>
    <cellStyle name="Hyperlink" xfId="4574" builtinId="8" hidden="1"/>
    <cellStyle name="Hyperlink" xfId="4576" builtinId="8" hidden="1"/>
    <cellStyle name="Hyperlink" xfId="4578" builtinId="8" hidden="1"/>
    <cellStyle name="Hyperlink" xfId="4580" builtinId="8" hidden="1"/>
    <cellStyle name="Hyperlink" xfId="4582" builtinId="8" hidden="1"/>
    <cellStyle name="Hyperlink" xfId="4584" builtinId="8" hidden="1"/>
    <cellStyle name="Hyperlink" xfId="4586" builtinId="8" hidden="1"/>
    <cellStyle name="Hyperlink" xfId="4588" builtinId="8" hidden="1"/>
    <cellStyle name="Hyperlink" xfId="4590" builtinId="8" hidden="1"/>
    <cellStyle name="Hyperlink" xfId="4592" builtinId="8" hidden="1"/>
    <cellStyle name="Hyperlink" xfId="4594" builtinId="8" hidden="1"/>
    <cellStyle name="Hyperlink" xfId="4596" builtinId="8" hidden="1"/>
    <cellStyle name="Hyperlink" xfId="4598" builtinId="8" hidden="1"/>
    <cellStyle name="Hyperlink" xfId="4600" builtinId="8" hidden="1"/>
    <cellStyle name="Hyperlink" xfId="4602" builtinId="8" hidden="1"/>
    <cellStyle name="Hyperlink" xfId="4604" builtinId="8" hidden="1"/>
    <cellStyle name="Hyperlink" xfId="4606" builtinId="8" hidden="1"/>
    <cellStyle name="Hyperlink" xfId="4608" builtinId="8" hidden="1"/>
    <cellStyle name="Hyperlink" xfId="4610" builtinId="8" hidden="1"/>
    <cellStyle name="Hyperlink" xfId="4612" builtinId="8" hidden="1"/>
    <cellStyle name="Hyperlink" xfId="4614" builtinId="8" hidden="1"/>
    <cellStyle name="Hyperlink" xfId="4616" builtinId="8" hidden="1"/>
    <cellStyle name="Hyperlink" xfId="4618" builtinId="8" hidden="1"/>
    <cellStyle name="Hyperlink" xfId="4620" builtinId="8" hidden="1"/>
    <cellStyle name="Hyperlink" xfId="4622" builtinId="8" hidden="1"/>
    <cellStyle name="Hyperlink" xfId="4624" builtinId="8" hidden="1"/>
    <cellStyle name="Hyperlink" xfId="4626" builtinId="8" hidden="1"/>
    <cellStyle name="Hyperlink" xfId="4628" builtinId="8" hidden="1"/>
    <cellStyle name="Hyperlink" xfId="4630" builtinId="8" hidden="1"/>
    <cellStyle name="Hyperlink" xfId="4632" builtinId="8" hidden="1"/>
    <cellStyle name="Hyperlink" xfId="4634" builtinId="8" hidden="1"/>
    <cellStyle name="Hyperlink" xfId="4636" builtinId="8" hidden="1"/>
    <cellStyle name="Hyperlink" xfId="4638" builtinId="8" hidden="1"/>
    <cellStyle name="Hyperlink" xfId="4640" builtinId="8" hidden="1"/>
    <cellStyle name="Hyperlink" xfId="4642" builtinId="8" hidden="1"/>
    <cellStyle name="Hyperlink" xfId="4644" builtinId="8" hidden="1"/>
    <cellStyle name="Hyperlink" xfId="4646" builtinId="8" hidden="1"/>
    <cellStyle name="Hyperlink" xfId="4648" builtinId="8" hidden="1"/>
    <cellStyle name="Hyperlink" xfId="4650" builtinId="8" hidden="1"/>
    <cellStyle name="Hyperlink" xfId="4652" builtinId="8" hidden="1"/>
    <cellStyle name="Hyperlink" xfId="4654" builtinId="8" hidden="1"/>
    <cellStyle name="Hyperlink" xfId="4656" builtinId="8" hidden="1"/>
    <cellStyle name="Hyperlink" xfId="4658" builtinId="8" hidden="1"/>
    <cellStyle name="Hyperlink" xfId="4660" builtinId="8" hidden="1"/>
    <cellStyle name="Hyperlink" xfId="4662" builtinId="8" hidden="1"/>
    <cellStyle name="Hyperlink" xfId="4664" builtinId="8" hidden="1"/>
    <cellStyle name="Hyperlink" xfId="4666" builtinId="8" hidden="1"/>
    <cellStyle name="Hyperlink" xfId="4668" builtinId="8" hidden="1"/>
    <cellStyle name="Hyperlink" xfId="4670" builtinId="8" hidden="1"/>
    <cellStyle name="Hyperlink" xfId="4672" builtinId="8" hidden="1"/>
    <cellStyle name="Hyperlink" xfId="4674" builtinId="8" hidden="1"/>
    <cellStyle name="Hyperlink" xfId="4676" builtinId="8" hidden="1"/>
    <cellStyle name="Hyperlink" xfId="4678" builtinId="8" hidden="1"/>
    <cellStyle name="Hyperlink" xfId="4680" builtinId="8" hidden="1"/>
    <cellStyle name="Hyperlink" xfId="4682" builtinId="8" hidden="1"/>
    <cellStyle name="Hyperlink" xfId="4684" builtinId="8" hidden="1"/>
    <cellStyle name="Hyperlink" xfId="4686" builtinId="8" hidden="1"/>
    <cellStyle name="Hyperlink" xfId="4688" builtinId="8" hidden="1"/>
    <cellStyle name="Hyperlink" xfId="4690" builtinId="8" hidden="1"/>
    <cellStyle name="Hyperlink" xfId="4692" builtinId="8" hidden="1"/>
    <cellStyle name="Hyperlink" xfId="4694" builtinId="8" hidden="1"/>
    <cellStyle name="Hyperlink" xfId="4696" builtinId="8" hidden="1"/>
    <cellStyle name="Hyperlink" xfId="4698" builtinId="8" hidden="1"/>
    <cellStyle name="Hyperlink" xfId="4700" builtinId="8" hidden="1"/>
    <cellStyle name="Hyperlink" xfId="4702" builtinId="8" hidden="1"/>
    <cellStyle name="Hyperlink" xfId="4704" builtinId="8" hidden="1"/>
    <cellStyle name="Hyperlink" xfId="4706" builtinId="8" hidden="1"/>
    <cellStyle name="Hyperlink" xfId="4708" builtinId="8" hidden="1"/>
    <cellStyle name="Hyperlink" xfId="4710" builtinId="8" hidden="1"/>
    <cellStyle name="Hyperlink" xfId="4712" builtinId="8" hidden="1"/>
    <cellStyle name="Hyperlink" xfId="4714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4" builtinId="8" hidden="1"/>
    <cellStyle name="Hyperlink" xfId="5336" builtinId="8" hidden="1"/>
    <cellStyle name="Hyperlink" xfId="5338" builtinId="8" hidden="1"/>
    <cellStyle name="Hyperlink" xfId="5340" builtinId="8" hidden="1"/>
    <cellStyle name="Hyperlink" xfId="5342" builtinId="8" hidden="1"/>
    <cellStyle name="Hyperlink" xfId="5344" builtinId="8" hidden="1"/>
    <cellStyle name="Hyperlink" xfId="5346" builtinId="8" hidden="1"/>
    <cellStyle name="Hyperlink" xfId="5348" builtinId="8" hidden="1"/>
    <cellStyle name="Hyperlink" xfId="5350" builtinId="8" hidden="1"/>
    <cellStyle name="Hyperlink" xfId="5352" builtinId="8" hidden="1"/>
    <cellStyle name="Hyperlink" xfId="5354" builtinId="8" hidden="1"/>
    <cellStyle name="Hyperlink" xfId="5356" builtinId="8" hidden="1"/>
    <cellStyle name="Hyperlink" xfId="5358" builtinId="8" hidden="1"/>
    <cellStyle name="Hyperlink" xfId="5360" builtinId="8" hidden="1"/>
    <cellStyle name="Hyperlink" xfId="5362" builtinId="8" hidden="1"/>
    <cellStyle name="Hyperlink" xfId="5364" builtinId="8" hidden="1"/>
    <cellStyle name="Hyperlink" xfId="5366" builtinId="8" hidden="1"/>
    <cellStyle name="Hyperlink" xfId="5368" builtinId="8" hidden="1"/>
    <cellStyle name="Hyperlink" xfId="5370" builtinId="8" hidden="1"/>
    <cellStyle name="Hyperlink" xfId="5372" builtinId="8" hidden="1"/>
    <cellStyle name="Hyperlink" xfId="5374" builtinId="8" hidden="1"/>
    <cellStyle name="Hyperlink" xfId="5376" builtinId="8" hidden="1"/>
    <cellStyle name="Hyperlink" xfId="5378" builtinId="8" hidden="1"/>
    <cellStyle name="Hyperlink" xfId="5380" builtinId="8" hidden="1"/>
    <cellStyle name="Hyperlink" xfId="5382" builtinId="8" hidden="1"/>
    <cellStyle name="Hyperlink" xfId="5384" builtinId="8" hidden="1"/>
    <cellStyle name="Hyperlink" xfId="5386" builtinId="8" hidden="1"/>
    <cellStyle name="Hyperlink" xfId="5388" builtinId="8" hidden="1"/>
    <cellStyle name="Hyperlink" xfId="5390" builtinId="8" hidden="1"/>
    <cellStyle name="Hyperlink" xfId="5392" builtinId="8" hidden="1"/>
    <cellStyle name="Hyperlink" xfId="5394" builtinId="8" hidden="1"/>
    <cellStyle name="Hyperlink" xfId="5396" builtinId="8" hidden="1"/>
    <cellStyle name="Hyperlink" xfId="5398" builtinId="8" hidden="1"/>
    <cellStyle name="Hyperlink" xfId="5400" builtinId="8" hidden="1"/>
    <cellStyle name="Hyperlink" xfId="5402" builtinId="8" hidden="1"/>
    <cellStyle name="Hyperlink" xfId="5404" builtinId="8" hidden="1"/>
    <cellStyle name="Hyperlink" xfId="5406" builtinId="8" hidden="1"/>
    <cellStyle name="Hyperlink" xfId="5408" builtinId="8" hidden="1"/>
    <cellStyle name="Hyperlink" xfId="5410" builtinId="8" hidden="1"/>
    <cellStyle name="Hyperlink" xfId="5412" builtinId="8" hidden="1"/>
    <cellStyle name="Hyperlink" xfId="5414" builtinId="8" hidden="1"/>
    <cellStyle name="Hyperlink" xfId="5416" builtinId="8" hidden="1"/>
    <cellStyle name="Hyperlink" xfId="5418" builtinId="8" hidden="1"/>
    <cellStyle name="Hyperlink" xfId="5420" builtinId="8" hidden="1"/>
    <cellStyle name="Hyperlink" xfId="5422" builtinId="8" hidden="1"/>
    <cellStyle name="Hyperlink" xfId="5424" builtinId="8" hidden="1"/>
    <cellStyle name="Hyperlink" xfId="5426" builtinId="8" hidden="1"/>
    <cellStyle name="Hyperlink" xfId="5428" builtinId="8" hidden="1"/>
    <cellStyle name="Hyperlink" xfId="5430" builtinId="8" hidden="1"/>
    <cellStyle name="Hyperlink" xfId="5432" builtinId="8" hidden="1"/>
    <cellStyle name="Hyperlink" xfId="5434" builtinId="8" hidden="1"/>
    <cellStyle name="Hyperlink" xfId="5436" builtinId="8" hidden="1"/>
    <cellStyle name="Hyperlink" xfId="5438" builtinId="8" hidden="1"/>
    <cellStyle name="Hyperlink" xfId="5440" builtinId="8" hidden="1"/>
    <cellStyle name="Hyperlink" xfId="5442" builtinId="8" hidden="1"/>
    <cellStyle name="Hyperlink" xfId="5444" builtinId="8" hidden="1"/>
    <cellStyle name="Hyperlink" xfId="5446" builtinId="8" hidden="1"/>
    <cellStyle name="Hyperlink" xfId="5448" builtinId="8" hidden="1"/>
    <cellStyle name="Hyperlink" xfId="5450" builtinId="8" hidden="1"/>
    <cellStyle name="Hyperlink" xfId="5452" builtinId="8" hidden="1"/>
    <cellStyle name="Hyperlink" xfId="5454" builtinId="8" hidden="1"/>
    <cellStyle name="Hyperlink" xfId="5456" builtinId="8" hidden="1"/>
    <cellStyle name="Hyperlink" xfId="5458" builtinId="8" hidden="1"/>
    <cellStyle name="Hyperlink" xfId="5460" builtinId="8" hidden="1"/>
    <cellStyle name="Hyperlink" xfId="5462" builtinId="8" hidden="1"/>
    <cellStyle name="Hyperlink" xfId="5464" builtinId="8" hidden="1"/>
    <cellStyle name="Hyperlink" xfId="5466" builtinId="8" hidden="1"/>
    <cellStyle name="Hyperlink" xfId="5468" builtinId="8" hidden="1"/>
    <cellStyle name="Hyperlink" xfId="5470" builtinId="8" hidden="1"/>
    <cellStyle name="Hyperlink" xfId="5472" builtinId="8" hidden="1"/>
    <cellStyle name="Hyperlink" xfId="5474" builtinId="8" hidden="1"/>
    <cellStyle name="Hyperlink" xfId="5476" builtinId="8" hidden="1"/>
    <cellStyle name="Hyperlink" xfId="5478" builtinId="8" hidden="1"/>
    <cellStyle name="Hyperlink" xfId="5480" builtinId="8" hidden="1"/>
    <cellStyle name="Hyperlink" xfId="5482" builtinId="8" hidden="1"/>
    <cellStyle name="Hyperlink" xfId="5484" builtinId="8" hidden="1"/>
    <cellStyle name="Hyperlink" xfId="5486" builtinId="8" hidden="1"/>
    <cellStyle name="Hyperlink" xfId="5488" builtinId="8" hidden="1"/>
    <cellStyle name="Hyperlink" xfId="5490" builtinId="8" hidden="1"/>
    <cellStyle name="Hyperlink" xfId="5492" builtinId="8" hidden="1"/>
    <cellStyle name="Hyperlink" xfId="5494" builtinId="8" hidden="1"/>
    <cellStyle name="Hyperlink" xfId="5496" builtinId="8" hidden="1"/>
    <cellStyle name="Hyperlink" xfId="5498" builtinId="8" hidden="1"/>
    <cellStyle name="Hyperlink" xfId="5500" builtinId="8" hidden="1"/>
    <cellStyle name="Hyperlink" xfId="5502" builtinId="8" hidden="1"/>
    <cellStyle name="Hyperlink" xfId="5504" builtinId="8" hidden="1"/>
    <cellStyle name="Hyperlink" xfId="5506" builtinId="8" hidden="1"/>
    <cellStyle name="Hyperlink" xfId="5508" builtinId="8" hidden="1"/>
    <cellStyle name="Hyperlink" xfId="5510" builtinId="8" hidden="1"/>
    <cellStyle name="Hyperlink" xfId="5512" builtinId="8" hidden="1"/>
    <cellStyle name="Hyperlink" xfId="5514" builtinId="8" hidden="1"/>
    <cellStyle name="Hyperlink" xfId="5516" builtinId="8" hidden="1"/>
    <cellStyle name="Hyperlink" xfId="5518" builtinId="8" hidden="1"/>
    <cellStyle name="Hyperlink" xfId="5520" builtinId="8" hidden="1"/>
    <cellStyle name="Hyperlink" xfId="5522" builtinId="8" hidden="1"/>
    <cellStyle name="Hyperlink" xfId="5524" builtinId="8" hidden="1"/>
    <cellStyle name="Hyperlink" xfId="5526" builtinId="8" hidden="1"/>
    <cellStyle name="Hyperlink" xfId="5528" builtinId="8" hidden="1"/>
    <cellStyle name="Hyperlink" xfId="5530" builtinId="8" hidden="1"/>
    <cellStyle name="Hyperlink" xfId="5532" builtinId="8" hidden="1"/>
    <cellStyle name="Hyperlink" xfId="5534" builtinId="8" hidden="1"/>
    <cellStyle name="Hyperlink" xfId="5536" builtinId="8" hidden="1"/>
    <cellStyle name="Hyperlink" xfId="5538" builtinId="8" hidden="1"/>
    <cellStyle name="Hyperlink" xfId="5540" builtinId="8" hidden="1"/>
    <cellStyle name="Hyperlink" xfId="5542" builtinId="8" hidden="1"/>
    <cellStyle name="Hyperlink" xfId="5544" builtinId="8" hidden="1"/>
    <cellStyle name="Hyperlink" xfId="5546" builtinId="8" hidden="1"/>
    <cellStyle name="Hyperlink" xfId="5548" builtinId="8" hidden="1"/>
    <cellStyle name="Hyperlink" xfId="5550" builtinId="8" hidden="1"/>
    <cellStyle name="Hyperlink" xfId="5552" builtinId="8" hidden="1"/>
    <cellStyle name="Hyperlink" xfId="5554" builtinId="8" hidden="1"/>
    <cellStyle name="Hyperlink" xfId="5556" builtinId="8" hidden="1"/>
    <cellStyle name="Hyperlink" xfId="5558" builtinId="8" hidden="1"/>
    <cellStyle name="Hyperlink" xfId="5560" builtinId="8" hidden="1"/>
    <cellStyle name="Hyperlink" xfId="5562" builtinId="8" hidden="1"/>
    <cellStyle name="Hyperlink" xfId="5564" builtinId="8" hidden="1"/>
    <cellStyle name="Hyperlink" xfId="5566" builtinId="8" hidden="1"/>
    <cellStyle name="Hyperlink" xfId="5568" builtinId="8" hidden="1"/>
    <cellStyle name="Hyperlink" xfId="5570" builtinId="8" hidden="1"/>
    <cellStyle name="Hyperlink" xfId="5572" builtinId="8" hidden="1"/>
    <cellStyle name="Hyperlink" xfId="5574" builtinId="8" hidden="1"/>
    <cellStyle name="Hyperlink" xfId="5576" builtinId="8" hidden="1"/>
    <cellStyle name="Hyperlink" xfId="5578" builtinId="8" hidden="1"/>
    <cellStyle name="Hyperlink" xfId="5580" builtinId="8" hidden="1"/>
    <cellStyle name="Hyperlink" xfId="5582" builtinId="8" hidden="1"/>
    <cellStyle name="Hyperlink" xfId="5584" builtinId="8" hidden="1"/>
    <cellStyle name="Hyperlink" xfId="5586" builtinId="8" hidden="1"/>
    <cellStyle name="Hyperlink" xfId="5588" builtinId="8" hidden="1"/>
    <cellStyle name="Hyperlink" xfId="5590" builtinId="8" hidden="1"/>
    <cellStyle name="Hyperlink" xfId="5592" builtinId="8" hidden="1"/>
    <cellStyle name="Hyperlink" xfId="5594" builtinId="8" hidden="1"/>
    <cellStyle name="Hyperlink" xfId="5596" builtinId="8" hidden="1"/>
    <cellStyle name="Hyperlink" xfId="5598" builtinId="8" hidden="1"/>
    <cellStyle name="Hyperlink" xfId="5600" builtinId="8" hidden="1"/>
    <cellStyle name="Hyperlink" xfId="5602" builtinId="8" hidden="1"/>
    <cellStyle name="Hyperlink" xfId="5604" builtinId="8" hidden="1"/>
    <cellStyle name="Hyperlink" xfId="5606" builtinId="8" hidden="1"/>
    <cellStyle name="Hyperlink" xfId="5608" builtinId="8" hidden="1"/>
    <cellStyle name="Hyperlink" xfId="5610" builtinId="8" hidden="1"/>
    <cellStyle name="Hyperlink" xfId="5612" builtinId="8" hidden="1"/>
    <cellStyle name="Hyperlink" xfId="5614" builtinId="8" hidden="1"/>
    <cellStyle name="Hyperlink" xfId="5616" builtinId="8" hidden="1"/>
    <cellStyle name="Hyperlink" xfId="5618" builtinId="8" hidden="1"/>
    <cellStyle name="Hyperlink" xfId="5620" builtinId="8" hidden="1"/>
    <cellStyle name="Hyperlink" xfId="5622" builtinId="8" hidden="1"/>
    <cellStyle name="Hyperlink" xfId="5624" builtinId="8" hidden="1"/>
    <cellStyle name="Hyperlink" xfId="5626" builtinId="8" hidden="1"/>
    <cellStyle name="Hyperlink" xfId="5628" builtinId="8" hidden="1"/>
    <cellStyle name="Hyperlink" xfId="5630" builtinId="8" hidden="1"/>
    <cellStyle name="Hyperlink" xfId="5632" builtinId="8" hidden="1"/>
    <cellStyle name="Hyperlink" xfId="5634" builtinId="8" hidden="1"/>
    <cellStyle name="Hyperlink" xfId="5636" builtinId="8" hidden="1"/>
    <cellStyle name="Hyperlink" xfId="5638" builtinId="8" hidden="1"/>
    <cellStyle name="Hyperlink" xfId="5640" builtinId="8" hidden="1"/>
    <cellStyle name="Hyperlink" xfId="5642" builtinId="8" hidden="1"/>
    <cellStyle name="Hyperlink" xfId="5644" builtinId="8" hidden="1"/>
    <cellStyle name="Hyperlink" xfId="5646" builtinId="8" hidden="1"/>
    <cellStyle name="Hyperlink" xfId="5648" builtinId="8" hidden="1"/>
    <cellStyle name="Hyperlink" xfId="5650" builtinId="8" hidden="1"/>
    <cellStyle name="Hyperlink" xfId="5652" builtinId="8" hidden="1"/>
    <cellStyle name="Hyperlink" xfId="5654" builtinId="8" hidden="1"/>
    <cellStyle name="Hyperlink" xfId="5656" builtinId="8" hidden="1"/>
    <cellStyle name="Hyperlink" xfId="5658" builtinId="8" hidden="1"/>
    <cellStyle name="Hyperlink" xfId="5660" builtinId="8" hidden="1"/>
    <cellStyle name="Hyperlink" xfId="5662" builtinId="8" hidden="1"/>
    <cellStyle name="Hyperlink" xfId="5664" builtinId="8" hidden="1"/>
    <cellStyle name="Hyperlink" xfId="5666" builtinId="8" hidden="1"/>
    <cellStyle name="Hyperlink" xfId="5668" builtinId="8" hidden="1"/>
    <cellStyle name="Hyperlink" xfId="5670" builtinId="8" hidden="1"/>
    <cellStyle name="Hyperlink" xfId="5672" builtinId="8" hidden="1"/>
    <cellStyle name="Hyperlink" xfId="5674" builtinId="8" hidden="1"/>
    <cellStyle name="Hyperlink" xfId="5676" builtinId="8" hidden="1"/>
    <cellStyle name="Hyperlink" xfId="5678" builtinId="8" hidden="1"/>
    <cellStyle name="Hyperlink" xfId="5680" builtinId="8" hidden="1"/>
    <cellStyle name="Hyperlink" xfId="5682" builtinId="8" hidden="1"/>
    <cellStyle name="Hyperlink" xfId="5684" builtinId="8" hidden="1"/>
    <cellStyle name="Hyperlink" xfId="5686" builtinId="8" hidden="1"/>
    <cellStyle name="Hyperlink" xfId="5688" builtinId="8" hidden="1"/>
    <cellStyle name="Hyperlink" xfId="5690" builtinId="8" hidden="1"/>
    <cellStyle name="Hyperlink" xfId="5692" builtinId="8" hidden="1"/>
    <cellStyle name="Hyperlink" xfId="5694" builtinId="8" hidden="1"/>
    <cellStyle name="Hyperlink" xfId="5696" builtinId="8" hidden="1"/>
    <cellStyle name="Hyperlink" xfId="5698" builtinId="8" hidden="1"/>
    <cellStyle name="Hyperlink" xfId="5700" builtinId="8" hidden="1"/>
    <cellStyle name="Hyperlink" xfId="5702" builtinId="8" hidden="1"/>
    <cellStyle name="Hyperlink" xfId="5704" builtinId="8" hidden="1"/>
    <cellStyle name="Hyperlink" xfId="5706" builtinId="8" hidden="1"/>
    <cellStyle name="Hyperlink" xfId="5708" builtinId="8" hidden="1"/>
    <cellStyle name="Hyperlink" xfId="5710" builtinId="8" hidden="1"/>
    <cellStyle name="Hyperlink" xfId="5712" builtinId="8" hidden="1"/>
    <cellStyle name="Hyperlink" xfId="5714" builtinId="8" hidden="1"/>
    <cellStyle name="Hyperlink" xfId="5716" builtinId="8" hidden="1"/>
    <cellStyle name="Hyperlink" xfId="5718" builtinId="8" hidden="1"/>
    <cellStyle name="Hyperlink" xfId="5720" builtinId="8" hidden="1"/>
    <cellStyle name="Hyperlink" xfId="5722" builtinId="8" hidden="1"/>
    <cellStyle name="Hyperlink" xfId="5724" builtinId="8" hidden="1"/>
    <cellStyle name="Hyperlink" xfId="5726" builtinId="8" hidden="1"/>
    <cellStyle name="Hyperlink" xfId="5728" builtinId="8" hidden="1"/>
    <cellStyle name="Hyperlink" xfId="5730" builtinId="8" hidden="1"/>
    <cellStyle name="Hyperlink" xfId="5732" builtinId="8" hidden="1"/>
    <cellStyle name="Hyperlink" xfId="5734" builtinId="8" hidden="1"/>
    <cellStyle name="Hyperlink" xfId="5736" builtinId="8" hidden="1"/>
    <cellStyle name="Hyperlink" xfId="5738" builtinId="8" hidden="1"/>
    <cellStyle name="Hyperlink" xfId="5740" builtinId="8" hidden="1"/>
    <cellStyle name="Hyperlink" xfId="5742" builtinId="8" hidden="1"/>
    <cellStyle name="Hyperlink" xfId="5744" builtinId="8" hidden="1"/>
    <cellStyle name="Hyperlink" xfId="5746" builtinId="8" hidden="1"/>
    <cellStyle name="Hyperlink" xfId="5748" builtinId="8" hidden="1"/>
    <cellStyle name="Hyperlink" xfId="5750" builtinId="8" hidden="1"/>
    <cellStyle name="Hyperlink" xfId="5752" builtinId="8" hidden="1"/>
    <cellStyle name="Hyperlink" xfId="5754" builtinId="8" hidden="1"/>
    <cellStyle name="Hyperlink" xfId="5756" builtinId="8" hidden="1"/>
    <cellStyle name="Hyperlink" xfId="5758" builtinId="8" hidden="1"/>
    <cellStyle name="Hyperlink" xfId="5760" builtinId="8" hidden="1"/>
    <cellStyle name="Hyperlink" xfId="5762" builtinId="8" hidden="1"/>
    <cellStyle name="Hyperlink" xfId="5764" builtinId="8" hidden="1"/>
    <cellStyle name="Hyperlink" xfId="5766" builtinId="8" hidden="1"/>
    <cellStyle name="Hyperlink" xfId="5768" builtinId="8" hidden="1"/>
    <cellStyle name="Hyperlink" xfId="5770" builtinId="8" hidden="1"/>
    <cellStyle name="Hyperlink" xfId="5772" builtinId="8" hidden="1"/>
    <cellStyle name="Hyperlink" xfId="5774" builtinId="8" hidden="1"/>
    <cellStyle name="Hyperlink" xfId="5776" builtinId="8" hidden="1"/>
    <cellStyle name="Hyperlink" xfId="5778" builtinId="8" hidden="1"/>
    <cellStyle name="Hyperlink" xfId="5780" builtinId="8" hidden="1"/>
    <cellStyle name="Hyperlink" xfId="5782" builtinId="8" hidden="1"/>
    <cellStyle name="Hyperlink" xfId="5784" builtinId="8" hidden="1"/>
    <cellStyle name="Hyperlink" xfId="5786" builtinId="8" hidden="1"/>
    <cellStyle name="Hyperlink" xfId="5788" builtinId="8" hidden="1"/>
    <cellStyle name="Hyperlink" xfId="5790" builtinId="8" hidden="1"/>
    <cellStyle name="Hyperlink" xfId="5792" builtinId="8" hidden="1"/>
    <cellStyle name="Hyperlink" xfId="5794" builtinId="8" hidden="1"/>
    <cellStyle name="Hyperlink" xfId="5796" builtinId="8" hidden="1"/>
    <cellStyle name="Hyperlink" xfId="5798" builtinId="8" hidden="1"/>
    <cellStyle name="Hyperlink" xfId="5800" builtinId="8" hidden="1"/>
    <cellStyle name="Hyperlink" xfId="5802" builtinId="8" hidden="1"/>
    <cellStyle name="Hyperlink" xfId="5804" builtinId="8" hidden="1"/>
    <cellStyle name="Hyperlink" xfId="5806" builtinId="8" hidden="1"/>
    <cellStyle name="Hyperlink" xfId="5808" builtinId="8" hidden="1"/>
    <cellStyle name="Hyperlink" xfId="5810" builtinId="8" hidden="1"/>
    <cellStyle name="Hyperlink" xfId="5812" builtinId="8" hidden="1"/>
    <cellStyle name="Hyperlink" xfId="5814" builtinId="8" hidden="1"/>
    <cellStyle name="Hyperlink" xfId="5816" builtinId="8" hidden="1"/>
    <cellStyle name="Hyperlink" xfId="5818" builtinId="8" hidden="1"/>
    <cellStyle name="Hyperlink" xfId="5820" builtinId="8" hidden="1"/>
    <cellStyle name="Hyperlink" xfId="5822" builtinId="8" hidden="1"/>
    <cellStyle name="Hyperlink" xfId="5824" builtinId="8" hidden="1"/>
    <cellStyle name="Hyperlink" xfId="5826" builtinId="8" hidden="1"/>
    <cellStyle name="Hyperlink" xfId="5828" builtinId="8" hidden="1"/>
    <cellStyle name="Hyperlink" xfId="5830" builtinId="8" hidden="1"/>
    <cellStyle name="Hyperlink" xfId="5832" builtinId="8" hidden="1"/>
    <cellStyle name="Hyperlink" xfId="5834" builtinId="8" hidden="1"/>
    <cellStyle name="Hyperlink" xfId="5836" builtinId="8" hidden="1"/>
    <cellStyle name="Hyperlink" xfId="5838" builtinId="8" hidden="1"/>
    <cellStyle name="Hyperlink" xfId="5840" builtinId="8" hidden="1"/>
    <cellStyle name="Hyperlink" xfId="5842" builtinId="8" hidden="1"/>
    <cellStyle name="Hyperlink" xfId="5844" builtinId="8" hidden="1"/>
    <cellStyle name="Hyperlink" xfId="5846" builtinId="8" hidden="1"/>
    <cellStyle name="Hyperlink" xfId="5848" builtinId="8" hidden="1"/>
    <cellStyle name="Hyperlink" xfId="5850" builtinId="8" hidden="1"/>
    <cellStyle name="Hyperlink" xfId="5852" builtinId="8" hidden="1"/>
    <cellStyle name="Hyperlink" xfId="5854" builtinId="8" hidden="1"/>
    <cellStyle name="Hyperlink" xfId="5856" builtinId="8" hidden="1"/>
    <cellStyle name="Hyperlink" xfId="5858" builtinId="8" hidden="1"/>
    <cellStyle name="Hyperlink" xfId="5860" builtinId="8" hidden="1"/>
    <cellStyle name="Hyperlink" xfId="5862" builtinId="8" hidden="1"/>
    <cellStyle name="Hyperlink" xfId="5864" builtinId="8" hidden="1"/>
    <cellStyle name="Hyperlink" xfId="5866" builtinId="8" hidden="1"/>
    <cellStyle name="Hyperlink" xfId="5868" builtinId="8" hidden="1"/>
    <cellStyle name="Hyperlink" xfId="5870" builtinId="8" hidden="1"/>
    <cellStyle name="Hyperlink" xfId="5872" builtinId="8" hidden="1"/>
    <cellStyle name="Hyperlink" xfId="5874" builtinId="8" hidden="1"/>
    <cellStyle name="Hyperlink" xfId="5876" builtinId="8" hidden="1"/>
    <cellStyle name="Hyperlink" xfId="5878" builtinId="8" hidden="1"/>
    <cellStyle name="Hyperlink" xfId="5880" builtinId="8" hidden="1"/>
    <cellStyle name="Hyperlink" xfId="5882" builtinId="8" hidden="1"/>
    <cellStyle name="Hyperlink" xfId="5884" builtinId="8" hidden="1"/>
    <cellStyle name="Hyperlink" xfId="5886" builtinId="8" hidden="1"/>
    <cellStyle name="Hyperlink" xfId="5888" builtinId="8" hidden="1"/>
    <cellStyle name="Hyperlink" xfId="5890" builtinId="8" hidden="1"/>
    <cellStyle name="Hyperlink" xfId="5892" builtinId="8" hidden="1"/>
    <cellStyle name="Hyperlink" xfId="5894" builtinId="8" hidden="1"/>
    <cellStyle name="Hyperlink" xfId="5896" builtinId="8" hidden="1"/>
    <cellStyle name="Hyperlink" xfId="5898" builtinId="8" hidden="1"/>
    <cellStyle name="Hyperlink" xfId="5900" builtinId="8" hidden="1"/>
    <cellStyle name="Hyperlink" xfId="5902" builtinId="8" hidden="1"/>
    <cellStyle name="Hyperlink" xfId="5904" builtinId="8" hidden="1"/>
    <cellStyle name="Hyperlink" xfId="5906" builtinId="8" hidden="1"/>
    <cellStyle name="Hyperlink" xfId="5908" builtinId="8" hidden="1"/>
    <cellStyle name="Hyperlink" xfId="5910" builtinId="8" hidden="1"/>
    <cellStyle name="Hyperlink" xfId="5912" builtinId="8" hidden="1"/>
    <cellStyle name="Hyperlink" xfId="5914" builtinId="8" hidden="1"/>
    <cellStyle name="Hyperlink" xfId="5916" builtinId="8" hidden="1"/>
    <cellStyle name="Hyperlink" xfId="5918" builtinId="8" hidden="1"/>
    <cellStyle name="Hyperlink" xfId="5920" builtinId="8" hidden="1"/>
    <cellStyle name="Hyperlink" xfId="5922" builtinId="8" hidden="1"/>
    <cellStyle name="Hyperlink" xfId="5924" builtinId="8" hidden="1"/>
    <cellStyle name="Hyperlink" xfId="5926" builtinId="8" hidden="1"/>
    <cellStyle name="Hyperlink" xfId="5928" builtinId="8" hidden="1"/>
    <cellStyle name="Hyperlink" xfId="5930" builtinId="8" hidden="1"/>
    <cellStyle name="Hyperlink" xfId="5932" builtinId="8" hidden="1"/>
    <cellStyle name="Hyperlink" xfId="5934" builtinId="8" hidden="1"/>
    <cellStyle name="Hyperlink" xfId="5936" builtinId="8" hidden="1"/>
    <cellStyle name="Hyperlink" xfId="5938" builtinId="8" hidden="1"/>
    <cellStyle name="Hyperlink" xfId="5940" builtinId="8" hidden="1"/>
    <cellStyle name="Hyperlink" xfId="5942" builtinId="8" hidden="1"/>
    <cellStyle name="Hyperlink" xfId="5944" builtinId="8" hidden="1"/>
    <cellStyle name="Hyperlink" xfId="5946" builtinId="8" hidden="1"/>
    <cellStyle name="Hyperlink" xfId="5948" builtinId="8" hidden="1"/>
    <cellStyle name="Hyperlink" xfId="5950" builtinId="8" hidden="1"/>
    <cellStyle name="Hyperlink" xfId="5952" builtinId="8" hidden="1"/>
    <cellStyle name="Hyperlink" xfId="5954" builtinId="8" hidden="1"/>
    <cellStyle name="Hyperlink" xfId="5956" builtinId="8" hidden="1"/>
    <cellStyle name="Hyperlink" xfId="5958" builtinId="8" hidden="1"/>
    <cellStyle name="Hyperlink" xfId="5960" builtinId="8" hidden="1"/>
    <cellStyle name="Hyperlink" xfId="5962" builtinId="8" hidden="1"/>
    <cellStyle name="Hyperlink" xfId="5964" builtinId="8" hidden="1"/>
    <cellStyle name="Hyperlink" xfId="5966" builtinId="8" hidden="1"/>
    <cellStyle name="Hyperlink" xfId="5968" builtinId="8" hidden="1"/>
    <cellStyle name="Hyperlink" xfId="5970" builtinId="8" hidden="1"/>
    <cellStyle name="Hyperlink" xfId="5972" builtinId="8" hidden="1"/>
    <cellStyle name="Hyperlink" xfId="5974" builtinId="8" hidden="1"/>
    <cellStyle name="Hyperlink" xfId="5976" builtinId="8" hidden="1"/>
    <cellStyle name="Hyperlink" xfId="5978" builtinId="8" hidden="1"/>
    <cellStyle name="Hyperlink" xfId="5980" builtinId="8" hidden="1"/>
    <cellStyle name="Hyperlink" xfId="5982" builtinId="8" hidden="1"/>
    <cellStyle name="Hyperlink" xfId="5984" builtinId="8" hidden="1"/>
    <cellStyle name="Hyperlink" xfId="5986" builtinId="8" hidden="1"/>
    <cellStyle name="Hyperlink" xfId="5988" builtinId="8" hidden="1"/>
    <cellStyle name="Hyperlink" xfId="5990" builtinId="8" hidden="1"/>
    <cellStyle name="Hyperlink" xfId="5992" builtinId="8" hidden="1"/>
    <cellStyle name="Hyperlink" xfId="5994" builtinId="8" hidden="1"/>
    <cellStyle name="Hyperlink" xfId="5996" builtinId="8" hidden="1"/>
    <cellStyle name="Hyperlink" xfId="5998" builtinId="8" hidden="1"/>
    <cellStyle name="Hyperlink" xfId="6000" builtinId="8" hidden="1"/>
    <cellStyle name="Hyperlink" xfId="6002" builtinId="8" hidden="1"/>
    <cellStyle name="Hyperlink" xfId="6004" builtinId="8" hidden="1"/>
    <cellStyle name="Hyperlink" xfId="6006" builtinId="8" hidden="1"/>
    <cellStyle name="Hyperlink" xfId="6008" builtinId="8" hidden="1"/>
    <cellStyle name="Hyperlink" xfId="6010" builtinId="8" hidden="1"/>
    <cellStyle name="Hyperlink" xfId="6012" builtinId="8" hidden="1"/>
    <cellStyle name="Hyperlink" xfId="6014" builtinId="8" hidden="1"/>
    <cellStyle name="Hyperlink" xfId="6016" builtinId="8" hidden="1"/>
    <cellStyle name="Hyperlink" xfId="6018" builtinId="8" hidden="1"/>
    <cellStyle name="Hyperlink" xfId="6020" builtinId="8" hidden="1"/>
    <cellStyle name="Hyperlink" xfId="6022" builtinId="8" hidden="1"/>
    <cellStyle name="Hyperlink" xfId="6024" builtinId="8" hidden="1"/>
    <cellStyle name="Hyperlink" xfId="6026" builtinId="8" hidden="1"/>
    <cellStyle name="Hyperlink" xfId="6028" builtinId="8" hidden="1"/>
    <cellStyle name="Hyperlink" xfId="6030" builtinId="8" hidden="1"/>
    <cellStyle name="Hyperlink" xfId="6032" builtinId="8" hidden="1"/>
    <cellStyle name="Hyperlink" xfId="6034" builtinId="8" hidden="1"/>
    <cellStyle name="Hyperlink" xfId="6036" builtinId="8" hidden="1"/>
    <cellStyle name="Hyperlink" xfId="6038" builtinId="8" hidden="1"/>
    <cellStyle name="Hyperlink" xfId="6040" builtinId="8" hidden="1"/>
    <cellStyle name="Hyperlink" xfId="6042" builtinId="8" hidden="1"/>
    <cellStyle name="Hyperlink" xfId="6044" builtinId="8" hidden="1"/>
    <cellStyle name="Hyperlink" xfId="6046" builtinId="8" hidden="1"/>
    <cellStyle name="Hyperlink" xfId="6048" builtinId="8" hidden="1"/>
    <cellStyle name="Hyperlink" xfId="6050" builtinId="8" hidden="1"/>
    <cellStyle name="Hyperlink" xfId="6052" builtinId="8" hidden="1"/>
    <cellStyle name="Hyperlink" xfId="6054" builtinId="8" hidden="1"/>
    <cellStyle name="Hyperlink" xfId="6056" builtinId="8" hidden="1"/>
    <cellStyle name="Hyperlink" xfId="6058" builtinId="8" hidden="1"/>
    <cellStyle name="Hyperlink" xfId="6060" builtinId="8" hidden="1"/>
    <cellStyle name="Hyperlink" xfId="6062" builtinId="8" hidden="1"/>
    <cellStyle name="Hyperlink" xfId="6064" builtinId="8" hidden="1"/>
    <cellStyle name="Hyperlink" xfId="6066" builtinId="8" hidden="1"/>
    <cellStyle name="Hyperlink" xfId="6068" builtinId="8" hidden="1"/>
    <cellStyle name="Hyperlink" xfId="6070" builtinId="8" hidden="1"/>
    <cellStyle name="Hyperlink" xfId="6072" builtinId="8" hidden="1"/>
    <cellStyle name="Hyperlink" xfId="6074" builtinId="8" hidden="1"/>
    <cellStyle name="Hyperlink" xfId="6076" builtinId="8" hidden="1"/>
    <cellStyle name="Hyperlink" xfId="6078" builtinId="8" hidden="1"/>
    <cellStyle name="Hyperlink" xfId="6080" builtinId="8" hidden="1"/>
    <cellStyle name="Hyperlink" xfId="6082" builtinId="8" hidden="1"/>
    <cellStyle name="Hyperlink" xfId="6084" builtinId="8" hidden="1"/>
    <cellStyle name="Hyperlink" xfId="6086" builtinId="8" hidden="1"/>
    <cellStyle name="Hyperlink" xfId="6088" builtinId="8" hidden="1"/>
    <cellStyle name="Hyperlink" xfId="6090" builtinId="8" hidden="1"/>
    <cellStyle name="Hyperlink" xfId="6092" builtinId="8" hidden="1"/>
    <cellStyle name="Hyperlink" xfId="6094" builtinId="8" hidden="1"/>
    <cellStyle name="Hyperlink" xfId="6096" builtinId="8" hidden="1"/>
    <cellStyle name="Hyperlink" xfId="6098" builtinId="8" hidden="1"/>
    <cellStyle name="Hyperlink" xfId="6100" builtinId="8" hidden="1"/>
    <cellStyle name="Hyperlink" xfId="6102" builtinId="8" hidden="1"/>
    <cellStyle name="Hyperlink" xfId="6104" builtinId="8" hidden="1"/>
    <cellStyle name="Hyperlink" xfId="6106" builtinId="8" hidden="1"/>
    <cellStyle name="Hyperlink" xfId="6108" builtinId="8" hidden="1"/>
    <cellStyle name="Hyperlink" xfId="6110" builtinId="8" hidden="1"/>
    <cellStyle name="Hyperlink" xfId="6112" builtinId="8" hidden="1"/>
    <cellStyle name="Hyperlink" xfId="6114" builtinId="8" hidden="1"/>
    <cellStyle name="Hyperlink" xfId="6116" builtinId="8" hidden="1"/>
    <cellStyle name="Hyperlink" xfId="6118" builtinId="8" hidden="1"/>
    <cellStyle name="Hyperlink" xfId="6120" builtinId="8" hidden="1"/>
    <cellStyle name="Hyperlink" xfId="6122" builtinId="8" hidden="1"/>
    <cellStyle name="Hyperlink" xfId="6124" builtinId="8" hidden="1"/>
    <cellStyle name="Hyperlink" xfId="6126" builtinId="8" hidden="1"/>
    <cellStyle name="Hyperlink" xfId="6128" builtinId="8" hidden="1"/>
    <cellStyle name="Hyperlink" xfId="6130" builtinId="8" hidden="1"/>
    <cellStyle name="Hyperlink" xfId="6132" builtinId="8" hidden="1"/>
    <cellStyle name="Hyperlink" xfId="6134" builtinId="8" hidden="1"/>
    <cellStyle name="Hyperlink" xfId="6136" builtinId="8" hidden="1"/>
    <cellStyle name="Hyperlink" xfId="6138" builtinId="8" hidden="1"/>
    <cellStyle name="Hyperlink" xfId="6140" builtinId="8" hidden="1"/>
    <cellStyle name="Hyperlink" xfId="6142" builtinId="8" hidden="1"/>
    <cellStyle name="Hyperlink" xfId="6144" builtinId="8" hidden="1"/>
    <cellStyle name="Hyperlink" xfId="6146" builtinId="8" hidden="1"/>
    <cellStyle name="Hyperlink" xfId="6148" builtinId="8" hidden="1"/>
    <cellStyle name="Hyperlink" xfId="6150" builtinId="8" hidden="1"/>
    <cellStyle name="Hyperlink" xfId="6152" builtinId="8" hidden="1"/>
    <cellStyle name="Hyperlink" xfId="6154" builtinId="8" hidden="1"/>
    <cellStyle name="Hyperlink" xfId="6156" builtinId="8" hidden="1"/>
    <cellStyle name="Hyperlink" xfId="6158" builtinId="8" hidden="1"/>
    <cellStyle name="Hyperlink" xfId="6160" builtinId="8" hidden="1"/>
    <cellStyle name="Hyperlink" xfId="6162" builtinId="8" hidden="1"/>
    <cellStyle name="Hyperlink" xfId="6164" builtinId="8" hidden="1"/>
    <cellStyle name="Hyperlink" xfId="6166" builtinId="8" hidden="1"/>
    <cellStyle name="Hyperlink" xfId="6168" builtinId="8" hidden="1"/>
    <cellStyle name="Hyperlink" xfId="6170" builtinId="8" hidden="1"/>
    <cellStyle name="Hyperlink" xfId="6172" builtinId="8" hidden="1"/>
    <cellStyle name="Hyperlink" xfId="6174" builtinId="8" hidden="1"/>
    <cellStyle name="Hyperlink" xfId="6176" builtinId="8" hidden="1"/>
    <cellStyle name="Hyperlink" xfId="6178" builtinId="8" hidden="1"/>
    <cellStyle name="Hyperlink" xfId="6180" builtinId="8" hidden="1"/>
    <cellStyle name="Hyperlink" xfId="6182" builtinId="8" hidden="1"/>
    <cellStyle name="Hyperlink" xfId="6184" builtinId="8" hidden="1"/>
    <cellStyle name="Hyperlink" xfId="6186" builtinId="8" hidden="1"/>
    <cellStyle name="Hyperlink" xfId="6188" builtinId="8" hidden="1"/>
    <cellStyle name="Hyperlink" xfId="6190" builtinId="8" hidden="1"/>
    <cellStyle name="Hyperlink" xfId="6192" builtinId="8" hidden="1"/>
    <cellStyle name="Hyperlink" xfId="6194" builtinId="8" hidden="1"/>
    <cellStyle name="Hyperlink" xfId="6196" builtinId="8" hidden="1"/>
    <cellStyle name="Hyperlink" xfId="6198" builtinId="8" hidden="1"/>
    <cellStyle name="Hyperlink" xfId="6200" builtinId="8" hidden="1"/>
    <cellStyle name="Hyperlink" xfId="6202" builtinId="8" hidden="1"/>
    <cellStyle name="Hyperlink" xfId="6204" builtinId="8" hidden="1"/>
    <cellStyle name="Hyperlink" xfId="6206" builtinId="8" hidden="1"/>
    <cellStyle name="Hyperlink" xfId="6208" builtinId="8" hidden="1"/>
    <cellStyle name="Hyperlink" xfId="6210" builtinId="8" hidden="1"/>
    <cellStyle name="Hyperlink" xfId="6212" builtinId="8" hidden="1"/>
    <cellStyle name="Hyperlink" xfId="6214" builtinId="8" hidden="1"/>
    <cellStyle name="Hyperlink" xfId="6216" builtinId="8" hidden="1"/>
    <cellStyle name="Hyperlink" xfId="6218" builtinId="8" hidden="1"/>
    <cellStyle name="Hyperlink" xfId="6220" builtinId="8" hidden="1"/>
    <cellStyle name="Hyperlink" xfId="6222" builtinId="8" hidden="1"/>
    <cellStyle name="Hyperlink" xfId="6224" builtinId="8" hidden="1"/>
    <cellStyle name="Hyperlink" xfId="6226" builtinId="8" hidden="1"/>
    <cellStyle name="Hyperlink" xfId="6228" builtinId="8" hidden="1"/>
    <cellStyle name="Hyperlink" xfId="6230" builtinId="8" hidden="1"/>
    <cellStyle name="Hyperlink" xfId="6232" builtinId="8" hidden="1"/>
    <cellStyle name="Hyperlink" xfId="6234" builtinId="8" hidden="1"/>
    <cellStyle name="Hyperlink" xfId="6236" builtinId="8" hidden="1"/>
    <cellStyle name="Hyperlink" xfId="6238" builtinId="8" hidden="1"/>
    <cellStyle name="Hyperlink" xfId="6240" builtinId="8" hidden="1"/>
    <cellStyle name="Hyperlink" xfId="6242" builtinId="8" hidden="1"/>
    <cellStyle name="Hyperlink" xfId="6244" builtinId="8" hidden="1"/>
    <cellStyle name="Hyperlink" xfId="6246" builtinId="8" hidden="1"/>
    <cellStyle name="Hyperlink" xfId="6248" builtinId="8" hidden="1"/>
    <cellStyle name="Hyperlink" xfId="6250" builtinId="8" hidden="1"/>
    <cellStyle name="Hyperlink" xfId="6252" builtinId="8" hidden="1"/>
    <cellStyle name="Hyperlink" xfId="6254" builtinId="8" hidden="1"/>
    <cellStyle name="Hyperlink" xfId="6256" builtinId="8" hidden="1"/>
    <cellStyle name="Hyperlink" xfId="6258" builtinId="8" hidden="1"/>
    <cellStyle name="Hyperlink" xfId="6260" builtinId="8" hidden="1"/>
    <cellStyle name="Hyperlink" xfId="6262" builtinId="8" hidden="1"/>
    <cellStyle name="Hyperlink" xfId="6264" builtinId="8" hidden="1"/>
    <cellStyle name="Hyperlink" xfId="6266" builtinId="8" hidden="1"/>
    <cellStyle name="Hyperlink" xfId="6268" builtinId="8" hidden="1"/>
    <cellStyle name="Hyperlink" xfId="6270" builtinId="8" hidden="1"/>
    <cellStyle name="Hyperlink" xfId="6272" builtinId="8" hidden="1"/>
    <cellStyle name="Hyperlink" xfId="6274" builtinId="8" hidden="1"/>
    <cellStyle name="Hyperlink" xfId="6276" builtinId="8" hidden="1"/>
    <cellStyle name="Hyperlink" xfId="6278" builtinId="8" hidden="1"/>
    <cellStyle name="Hyperlink" xfId="6280" builtinId="8" hidden="1"/>
    <cellStyle name="Hyperlink" xfId="6282" builtinId="8" hidden="1"/>
    <cellStyle name="Hyperlink" xfId="6284" builtinId="8" hidden="1"/>
    <cellStyle name="Hyperlink" xfId="6286" builtinId="8" hidden="1"/>
    <cellStyle name="Hyperlink" xfId="6288" builtinId="8" hidden="1"/>
    <cellStyle name="Hyperlink" xfId="6290" builtinId="8" hidden="1"/>
    <cellStyle name="Hyperlink" xfId="6292" builtinId="8" hidden="1"/>
    <cellStyle name="Hyperlink" xfId="6294" builtinId="8" hidden="1"/>
    <cellStyle name="Hyperlink" xfId="6296" builtinId="8" hidden="1"/>
    <cellStyle name="Hyperlink" xfId="6298" builtinId="8" hidden="1"/>
    <cellStyle name="Hyperlink" xfId="6300" builtinId="8" hidden="1"/>
    <cellStyle name="Hyperlink" xfId="6302" builtinId="8" hidden="1"/>
    <cellStyle name="Hyperlink" xfId="6304" builtinId="8" hidden="1"/>
    <cellStyle name="Hyperlink" xfId="6306" builtinId="8" hidden="1"/>
    <cellStyle name="Hyperlink" xfId="6308" builtinId="8" hidden="1"/>
    <cellStyle name="Hyperlink" xfId="6310" builtinId="8" hidden="1"/>
    <cellStyle name="Hyperlink" xfId="6312" builtinId="8" hidden="1"/>
    <cellStyle name="Hyperlink" xfId="6314" builtinId="8" hidden="1"/>
    <cellStyle name="Hyperlink" xfId="6316" builtinId="8" hidden="1"/>
    <cellStyle name="Hyperlink" xfId="6318" builtinId="8" hidden="1"/>
    <cellStyle name="Hyperlink" xfId="6320" builtinId="8" hidden="1"/>
    <cellStyle name="Hyperlink" xfId="6322" builtinId="8" hidden="1"/>
    <cellStyle name="Hyperlink" xfId="6324" builtinId="8" hidden="1"/>
    <cellStyle name="Hyperlink" xfId="6326" builtinId="8" hidden="1"/>
    <cellStyle name="Hyperlink" xfId="6328" builtinId="8" hidden="1"/>
    <cellStyle name="Hyperlink" xfId="6330" builtinId="8" hidden="1"/>
    <cellStyle name="Hyperlink" xfId="6332" builtinId="8" hidden="1"/>
    <cellStyle name="Hyperlink" xfId="6334" builtinId="8" hidden="1"/>
    <cellStyle name="Hyperlink" xfId="6336" builtinId="8" hidden="1"/>
    <cellStyle name="Hyperlink" xfId="6338" builtinId="8" hidden="1"/>
    <cellStyle name="Hyperlink" xfId="6340" builtinId="8" hidden="1"/>
    <cellStyle name="Hyperlink" xfId="6342" builtinId="8" hidden="1"/>
    <cellStyle name="Hyperlink" xfId="6344" builtinId="8" hidden="1"/>
    <cellStyle name="Hyperlink" xfId="6346" builtinId="8" hidden="1"/>
    <cellStyle name="Hyperlink" xfId="6348" builtinId="8" hidden="1"/>
    <cellStyle name="Hyperlink" xfId="6350" builtinId="8" hidden="1"/>
    <cellStyle name="Hyperlink" xfId="6352" builtinId="8" hidden="1"/>
    <cellStyle name="Hyperlink" xfId="6354" builtinId="8" hidden="1"/>
    <cellStyle name="Hyperlink" xfId="6356" builtinId="8" hidden="1"/>
    <cellStyle name="Hyperlink" xfId="6358" builtinId="8" hidden="1"/>
    <cellStyle name="Hyperlink" xfId="6360" builtinId="8" hidden="1"/>
    <cellStyle name="Hyperlink" xfId="6362" builtinId="8" hidden="1"/>
    <cellStyle name="Hyperlink" xfId="6364" builtinId="8" hidden="1"/>
    <cellStyle name="Hyperlink" xfId="6366" builtinId="8" hidden="1"/>
    <cellStyle name="Hyperlink" xfId="6368" builtinId="8" hidden="1"/>
    <cellStyle name="Hyperlink" xfId="6370" builtinId="8" hidden="1"/>
    <cellStyle name="Hyperlink" xfId="6372" builtinId="8" hidden="1"/>
    <cellStyle name="Hyperlink" xfId="6374" builtinId="8" hidden="1"/>
    <cellStyle name="Hyperlink" xfId="6376" builtinId="8" hidden="1"/>
    <cellStyle name="Hyperlink" xfId="6378" builtinId="8" hidden="1"/>
    <cellStyle name="Hyperlink" xfId="6380" builtinId="8" hidden="1"/>
    <cellStyle name="Hyperlink" xfId="6382" builtinId="8" hidden="1"/>
    <cellStyle name="Hyperlink" xfId="6384" builtinId="8" hidden="1"/>
    <cellStyle name="Hyperlink" xfId="6386" builtinId="8" hidden="1"/>
    <cellStyle name="Hyperlink" xfId="6388" builtinId="8" hidden="1"/>
    <cellStyle name="Hyperlink" xfId="6390" builtinId="8" hidden="1"/>
    <cellStyle name="Hyperlink" xfId="6392" builtinId="8" hidden="1"/>
    <cellStyle name="Hyperlink" xfId="6394" builtinId="8" hidden="1"/>
    <cellStyle name="Hyperlink" xfId="6396" builtinId="8" hidden="1"/>
    <cellStyle name="Hyperlink" xfId="6398" builtinId="8" hidden="1"/>
    <cellStyle name="Hyperlink" xfId="6400" builtinId="8" hidden="1"/>
    <cellStyle name="Hyperlink" xfId="6402" builtinId="8" hidden="1"/>
    <cellStyle name="Hyperlink" xfId="6404" builtinId="8" hidden="1"/>
    <cellStyle name="Hyperlink" xfId="6406" builtinId="8" hidden="1"/>
    <cellStyle name="Hyperlink" xfId="6408" builtinId="8" hidden="1"/>
    <cellStyle name="Hyperlink" xfId="6410" builtinId="8" hidden="1"/>
    <cellStyle name="Hyperlink" xfId="6412" builtinId="8" hidden="1"/>
    <cellStyle name="Hyperlink" xfId="6414" builtinId="8" hidden="1"/>
    <cellStyle name="Hyperlink" xfId="6416" builtinId="8" hidden="1"/>
    <cellStyle name="Hyperlink" xfId="6418" builtinId="8" hidden="1"/>
    <cellStyle name="Hyperlink" xfId="6420" builtinId="8" hidden="1"/>
    <cellStyle name="Hyperlink" xfId="6422" builtinId="8" hidden="1"/>
    <cellStyle name="Hyperlink" xfId="6424" builtinId="8" hidden="1"/>
    <cellStyle name="Hyperlink" xfId="6426" builtinId="8" hidden="1"/>
    <cellStyle name="Hyperlink" xfId="6428" builtinId="8" hidden="1"/>
    <cellStyle name="Hyperlink" xfId="6430" builtinId="8" hidden="1"/>
    <cellStyle name="Hyperlink" xfId="6432" builtinId="8" hidden="1"/>
    <cellStyle name="Hyperlink" xfId="6434" builtinId="8" hidden="1"/>
    <cellStyle name="Hyperlink" xfId="6436" builtinId="8" hidden="1"/>
    <cellStyle name="Hyperlink" xfId="6438" builtinId="8" hidden="1"/>
    <cellStyle name="Hyperlink" xfId="6440" builtinId="8" hidden="1"/>
    <cellStyle name="Hyperlink" xfId="6442" builtinId="8" hidden="1"/>
    <cellStyle name="Hyperlink" xfId="6444" builtinId="8" hidden="1"/>
    <cellStyle name="Hyperlink" xfId="6446" builtinId="8" hidden="1"/>
    <cellStyle name="Hyperlink" xfId="6448" builtinId="8" hidden="1"/>
    <cellStyle name="Hyperlink" xfId="6450" builtinId="8" hidden="1"/>
    <cellStyle name="Hyperlink" xfId="6452" builtinId="8" hidden="1"/>
    <cellStyle name="Hyperlink" xfId="6454" builtinId="8" hidden="1"/>
    <cellStyle name="Hyperlink" xfId="6456" builtinId="8" hidden="1"/>
    <cellStyle name="Hyperlink" xfId="6458" builtinId="8" hidden="1"/>
    <cellStyle name="Hyperlink" xfId="6460" builtinId="8" hidden="1"/>
    <cellStyle name="Hyperlink" xfId="6462" builtinId="8" hidden="1"/>
    <cellStyle name="Hyperlink" xfId="6464" builtinId="8" hidden="1"/>
    <cellStyle name="Hyperlink" xfId="6466" builtinId="8" hidden="1"/>
    <cellStyle name="Hyperlink" xfId="6468" builtinId="8" hidden="1"/>
    <cellStyle name="Hyperlink" xfId="6470" builtinId="8" hidden="1"/>
    <cellStyle name="Hyperlink" xfId="6472" builtinId="8" hidden="1"/>
    <cellStyle name="Hyperlink" xfId="6474" builtinId="8" hidden="1"/>
    <cellStyle name="Hyperlink" xfId="6476" builtinId="8" hidden="1"/>
    <cellStyle name="Hyperlink" xfId="6478" builtinId="8" hidden="1"/>
    <cellStyle name="Hyperlink" xfId="6480" builtinId="8" hidden="1"/>
    <cellStyle name="Hyperlink" xfId="6482" builtinId="8" hidden="1"/>
    <cellStyle name="Hyperlink" xfId="6484" builtinId="8" hidden="1"/>
    <cellStyle name="Hyperlink" xfId="6486" builtinId="8" hidden="1"/>
    <cellStyle name="Hyperlink" xfId="6488" builtinId="8" hidden="1"/>
    <cellStyle name="Hyperlink" xfId="6490" builtinId="8" hidden="1"/>
    <cellStyle name="Hyperlink" xfId="6492" builtinId="8" hidden="1"/>
    <cellStyle name="Hyperlink" xfId="6494" builtinId="8" hidden="1"/>
    <cellStyle name="Hyperlink" xfId="6496" builtinId="8" hidden="1"/>
    <cellStyle name="Hyperlink" xfId="6498" builtinId="8" hidden="1"/>
    <cellStyle name="Hyperlink" xfId="6500" builtinId="8" hidden="1"/>
    <cellStyle name="Hyperlink" xfId="6502" builtinId="8" hidden="1"/>
    <cellStyle name="Hyperlink" xfId="6504" builtinId="8" hidden="1"/>
    <cellStyle name="Hyperlink" xfId="6506" builtinId="8" hidden="1"/>
    <cellStyle name="Hyperlink" xfId="6508" builtinId="8" hidden="1"/>
    <cellStyle name="Hyperlink" xfId="6510" builtinId="8" hidden="1"/>
    <cellStyle name="Hyperlink" xfId="6512" builtinId="8" hidden="1"/>
    <cellStyle name="Hyperlink" xfId="6514" builtinId="8" hidden="1"/>
    <cellStyle name="Hyperlink" xfId="6516" builtinId="8" hidden="1"/>
    <cellStyle name="Hyperlink" xfId="6518" builtinId="8" hidden="1"/>
    <cellStyle name="Hyperlink" xfId="6520" builtinId="8" hidden="1"/>
    <cellStyle name="Hyperlink" xfId="6522" builtinId="8" hidden="1"/>
    <cellStyle name="Hyperlink" xfId="6524" builtinId="8" hidden="1"/>
    <cellStyle name="Hyperlink" xfId="6526" builtinId="8" hidden="1"/>
    <cellStyle name="Hyperlink" xfId="6528" builtinId="8" hidden="1"/>
    <cellStyle name="Hyperlink" xfId="6530" builtinId="8" hidden="1"/>
    <cellStyle name="Hyperlink" xfId="6532" builtinId="8" hidden="1"/>
    <cellStyle name="Hyperlink" xfId="6534" builtinId="8" hidden="1"/>
    <cellStyle name="Hyperlink" xfId="6536" builtinId="8" hidden="1"/>
    <cellStyle name="Hyperlink" xfId="6538" builtinId="8" hidden="1"/>
    <cellStyle name="Hyperlink" xfId="6540" builtinId="8" hidden="1"/>
    <cellStyle name="Hyperlink" xfId="6542" builtinId="8" hidden="1"/>
    <cellStyle name="Hyperlink" xfId="6544" builtinId="8" hidden="1"/>
    <cellStyle name="Hyperlink" xfId="6546" builtinId="8" hidden="1"/>
    <cellStyle name="Hyperlink" xfId="6548" builtinId="8" hidden="1"/>
    <cellStyle name="Hyperlink" xfId="6550" builtinId="8" hidden="1"/>
    <cellStyle name="Hyperlink" xfId="6552" builtinId="8" hidden="1"/>
    <cellStyle name="Hyperlink" xfId="6554" builtinId="8" hidden="1"/>
    <cellStyle name="Hyperlink" xfId="6556" builtinId="8" hidden="1"/>
    <cellStyle name="Hyperlink" xfId="6558" builtinId="8" hidden="1"/>
    <cellStyle name="Hyperlink" xfId="6560" builtinId="8" hidden="1"/>
    <cellStyle name="Hyperlink" xfId="6562" builtinId="8" hidden="1"/>
    <cellStyle name="Hyperlink" xfId="6564" builtinId="8" hidden="1"/>
    <cellStyle name="Hyperlink" xfId="6566" builtinId="8" hidden="1"/>
    <cellStyle name="Hyperlink" xfId="6568" builtinId="8" hidden="1"/>
    <cellStyle name="Hyperlink" xfId="6570" builtinId="8" hidden="1"/>
    <cellStyle name="Hyperlink" xfId="6572" builtinId="8" hidden="1"/>
    <cellStyle name="Hyperlink" xfId="6574" builtinId="8" hidden="1"/>
    <cellStyle name="Hyperlink" xfId="6576" builtinId="8" hidden="1"/>
    <cellStyle name="Hyperlink" xfId="6578" builtinId="8" hidden="1"/>
    <cellStyle name="Hyperlink" xfId="6580" builtinId="8" hidden="1"/>
    <cellStyle name="Hyperlink" xfId="6582" builtinId="8" hidden="1"/>
    <cellStyle name="Hyperlink" xfId="6584" builtinId="8" hidden="1"/>
    <cellStyle name="Hyperlink" xfId="6586" builtinId="8" hidden="1"/>
    <cellStyle name="Hyperlink" xfId="6588" builtinId="8" hidden="1"/>
    <cellStyle name="Hyperlink" xfId="6590" builtinId="8" hidden="1"/>
    <cellStyle name="Hyperlink" xfId="6592" builtinId="8" hidden="1"/>
    <cellStyle name="Hyperlink" xfId="6594" builtinId="8" hidden="1"/>
    <cellStyle name="Hyperlink" xfId="6596" builtinId="8" hidden="1"/>
    <cellStyle name="Hyperlink" xfId="6598" builtinId="8" hidden="1"/>
    <cellStyle name="Hyperlink" xfId="6600" builtinId="8" hidden="1"/>
    <cellStyle name="Hyperlink" xfId="6602" builtinId="8" hidden="1"/>
    <cellStyle name="Hyperlink" xfId="6604" builtinId="8" hidden="1"/>
    <cellStyle name="Hyperlink" xfId="6606" builtinId="8" hidden="1"/>
    <cellStyle name="Hyperlink" xfId="6608" builtinId="8" hidden="1"/>
    <cellStyle name="Hyperlink" xfId="6610" builtinId="8" hidden="1"/>
    <cellStyle name="Hyperlink" xfId="6612" builtinId="8" hidden="1"/>
    <cellStyle name="Hyperlink" xfId="6614" builtinId="8" hidden="1"/>
    <cellStyle name="Hyperlink" xfId="6616" builtinId="8" hidden="1"/>
    <cellStyle name="Hyperlink" xfId="6618" builtinId="8" hidden="1"/>
    <cellStyle name="Hyperlink" xfId="6620" builtinId="8" hidden="1"/>
    <cellStyle name="Hyperlink" xfId="6622" builtinId="8" hidden="1"/>
    <cellStyle name="Hyperlink" xfId="6624" builtinId="8" hidden="1"/>
    <cellStyle name="Hyperlink" xfId="6626" builtinId="8" hidden="1"/>
    <cellStyle name="Hyperlink" xfId="6628" builtinId="8" hidden="1"/>
    <cellStyle name="Hyperlink" xfId="6630" builtinId="8" hidden="1"/>
    <cellStyle name="Hyperlink" xfId="6632" builtinId="8" hidden="1"/>
    <cellStyle name="Hyperlink" xfId="6634" builtinId="8" hidden="1"/>
    <cellStyle name="Hyperlink" xfId="6636" builtinId="8" hidden="1"/>
    <cellStyle name="Hyperlink" xfId="6638" builtinId="8" hidden="1"/>
    <cellStyle name="Hyperlink" xfId="6640" builtinId="8" hidden="1"/>
    <cellStyle name="Hyperlink" xfId="6642" builtinId="8" hidden="1"/>
    <cellStyle name="Hyperlink" xfId="6644" builtinId="8" hidden="1"/>
    <cellStyle name="Hyperlink" xfId="6646" builtinId="8" hidden="1"/>
    <cellStyle name="Hyperlink" xfId="6648" builtinId="8" hidden="1"/>
    <cellStyle name="Hyperlink" xfId="6650" builtinId="8" hidden="1"/>
    <cellStyle name="Hyperlink" xfId="6652" builtinId="8" hidden="1"/>
    <cellStyle name="Hyperlink" xfId="6654" builtinId="8" hidden="1"/>
    <cellStyle name="Hyperlink" xfId="6656" builtinId="8" hidden="1"/>
    <cellStyle name="Hyperlink" xfId="6658" builtinId="8" hidden="1"/>
    <cellStyle name="Hyperlink" xfId="6660" builtinId="8" hidden="1"/>
    <cellStyle name="Hyperlink" xfId="6662" builtinId="8" hidden="1"/>
    <cellStyle name="Hyperlink" xfId="6664" builtinId="8" hidden="1"/>
    <cellStyle name="Hyperlink" xfId="6666" builtinId="8" hidden="1"/>
    <cellStyle name="Hyperlink" xfId="6668" builtinId="8" hidden="1"/>
    <cellStyle name="Hyperlink" xfId="6670" builtinId="8" hidden="1"/>
    <cellStyle name="Hyperlink" xfId="6672" builtinId="8" hidden="1"/>
    <cellStyle name="Hyperlink" xfId="6674" builtinId="8" hidden="1"/>
    <cellStyle name="Hyperlink" xfId="6676" builtinId="8" hidden="1"/>
    <cellStyle name="Hyperlink" xfId="6678" builtinId="8" hidden="1"/>
    <cellStyle name="Hyperlink" xfId="6680" builtinId="8" hidden="1"/>
    <cellStyle name="Hyperlink" xfId="6682" builtinId="8" hidden="1"/>
    <cellStyle name="Hyperlink" xfId="6684" builtinId="8" hidden="1"/>
    <cellStyle name="Hyperlink" xfId="6686" builtinId="8" hidden="1"/>
    <cellStyle name="Hyperlink" xfId="6688" builtinId="8" hidden="1"/>
    <cellStyle name="Hyperlink" xfId="6690" builtinId="8" hidden="1"/>
    <cellStyle name="Hyperlink" xfId="6692" builtinId="8" hidden="1"/>
    <cellStyle name="Hyperlink" xfId="6694" builtinId="8" hidden="1"/>
    <cellStyle name="Hyperlink" xfId="6696" builtinId="8" hidden="1"/>
    <cellStyle name="Hyperlink" xfId="6698" builtinId="8" hidden="1"/>
    <cellStyle name="Hyperlink" xfId="6700" builtinId="8" hidden="1"/>
    <cellStyle name="Hyperlink" xfId="6702" builtinId="8" hidden="1"/>
    <cellStyle name="Hyperlink" xfId="6704" builtinId="8" hidden="1"/>
    <cellStyle name="Hyperlink" xfId="6706" builtinId="8" hidden="1"/>
    <cellStyle name="Hyperlink" xfId="6708" builtinId="8" hidden="1"/>
    <cellStyle name="Hyperlink" xfId="6710" builtinId="8" hidden="1"/>
    <cellStyle name="Hyperlink" xfId="6712" builtinId="8" hidden="1"/>
    <cellStyle name="Hyperlink" xfId="6714" builtinId="8" hidden="1"/>
    <cellStyle name="Hyperlink" xfId="6716" builtinId="8" hidden="1"/>
    <cellStyle name="Hyperlink" xfId="6718" builtinId="8" hidden="1"/>
    <cellStyle name="Hyperlink" xfId="6720" builtinId="8" hidden="1"/>
    <cellStyle name="Hyperlink" xfId="6722" builtinId="8" hidden="1"/>
    <cellStyle name="Hyperlink" xfId="6724" builtinId="8" hidden="1"/>
    <cellStyle name="Hyperlink" xfId="6726" builtinId="8" hidden="1"/>
    <cellStyle name="Hyperlink" xfId="6728" builtinId="8" hidden="1"/>
    <cellStyle name="Hyperlink" xfId="6730" builtinId="8" hidden="1"/>
    <cellStyle name="Hyperlink" xfId="6732" builtinId="8" hidden="1"/>
    <cellStyle name="Hyperlink 2" xfId="1353"/>
    <cellStyle name="Hyperlink 3" xfId="1355"/>
    <cellStyle name="Normal" xfId="0" builtinId="0"/>
    <cellStyle name="Normal 2" xfId="1"/>
    <cellStyle name="Normal 3" xfId="2"/>
    <cellStyle name="Normal 3 2" xfId="59"/>
    <cellStyle name="Normal 3 2 2" xfId="1408"/>
    <cellStyle name="Normal 3 2 3" xfId="4099"/>
    <cellStyle name="Normal 3 3" xfId="676"/>
    <cellStyle name="Normal 3 3 2" xfId="2025"/>
    <cellStyle name="Normal 3 3 3" xfId="4716"/>
    <cellStyle name="Normal 3 4" xfId="1293"/>
    <cellStyle name="Normal 3 4 2" xfId="2642"/>
    <cellStyle name="Normal 3 4 3" xfId="5333"/>
    <cellStyle name="Normal 3 5" xfId="1352"/>
    <cellStyle name="Normal 3 6" xfId="4042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6DCE5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66FF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24"/>
  <sheetViews>
    <sheetView tabSelected="1" topLeftCell="C1" zoomScale="135" zoomScaleNormal="85" workbookViewId="0">
      <pane ySplit="1" topLeftCell="A89" activePane="bottomLeft" state="frozen"/>
      <selection pane="bottomLeft" activeCell="I96" sqref="I96"/>
    </sheetView>
  </sheetViews>
  <sheetFormatPr baseColWidth="10" defaultColWidth="8.83203125" defaultRowHeight="14" x14ac:dyDescent="0.2"/>
  <cols>
    <col min="1" max="1" width="5.83203125" style="25" bestFit="1" customWidth="1"/>
    <col min="2" max="2" width="11.83203125" style="25" customWidth="1"/>
    <col min="3" max="3" width="51.5" style="25" customWidth="1"/>
    <col min="4" max="4" width="11.5" style="25" bestFit="1" customWidth="1"/>
    <col min="5" max="5" width="13.6640625" style="25" bestFit="1" customWidth="1"/>
    <col min="6" max="6" width="13" style="25" bestFit="1" customWidth="1"/>
    <col min="7" max="7" width="7.33203125" style="25" bestFit="1" customWidth="1"/>
    <col min="8" max="8" width="11.5" style="25" bestFit="1" customWidth="1"/>
    <col min="9" max="9" width="9.83203125" style="25" bestFit="1" customWidth="1"/>
    <col min="10" max="10" width="7.5" style="25" customWidth="1"/>
    <col min="11" max="11" width="7.5" style="51" customWidth="1"/>
    <col min="12" max="12" width="7.5" style="46" customWidth="1"/>
    <col min="13" max="13" width="7.5" style="51" customWidth="1"/>
    <col min="14" max="14" width="7.5" style="46" customWidth="1"/>
    <col min="15" max="15" width="7.5" style="51" customWidth="1"/>
    <col min="16" max="17" width="7.5" style="46" customWidth="1"/>
    <col min="18" max="18" width="7.5" style="51" customWidth="1"/>
    <col min="19" max="19" width="7.5" style="46" customWidth="1"/>
    <col min="20" max="20" width="7.5" style="25" customWidth="1"/>
    <col min="21" max="39" width="8.83203125" style="25"/>
    <col min="40" max="40" width="9.5" style="25" bestFit="1" customWidth="1"/>
    <col min="41" max="41" width="8.83203125" style="25"/>
    <col min="42" max="42" width="9.5" style="25" bestFit="1" customWidth="1"/>
    <col min="43" max="43" width="8.83203125" style="25"/>
    <col min="44" max="45" width="9.5" style="25" bestFit="1" customWidth="1"/>
    <col min="46" max="46" width="8.83203125" style="25"/>
    <col min="47" max="48" width="9.5" style="25" bestFit="1" customWidth="1"/>
    <col min="49" max="16384" width="8.83203125" style="25"/>
  </cols>
  <sheetData>
    <row r="1" spans="1:40" s="43" customFormat="1" ht="28" x14ac:dyDescent="0.2">
      <c r="A1" s="22" t="s">
        <v>145</v>
      </c>
      <c r="B1" s="22" t="s">
        <v>0</v>
      </c>
      <c r="C1" s="22" t="s">
        <v>1</v>
      </c>
      <c r="D1" s="22" t="s">
        <v>2</v>
      </c>
      <c r="E1" s="22" t="s">
        <v>138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3" t="s">
        <v>8</v>
      </c>
      <c r="L1" s="24" t="s">
        <v>9</v>
      </c>
      <c r="M1" s="23" t="s">
        <v>10</v>
      </c>
      <c r="N1" s="24" t="s">
        <v>11</v>
      </c>
      <c r="O1" s="23" t="s">
        <v>12</v>
      </c>
      <c r="P1" s="24" t="s">
        <v>13</v>
      </c>
      <c r="Q1" s="24" t="s">
        <v>14</v>
      </c>
      <c r="R1" s="23" t="s">
        <v>15</v>
      </c>
      <c r="S1" s="24" t="s">
        <v>16</v>
      </c>
      <c r="T1" s="22" t="s">
        <v>146</v>
      </c>
    </row>
    <row r="2" spans="1:40" x14ac:dyDescent="0.2">
      <c r="A2" s="29">
        <v>1</v>
      </c>
      <c r="B2" s="29" t="s">
        <v>54</v>
      </c>
      <c r="C2" s="29" t="s">
        <v>55</v>
      </c>
      <c r="D2" s="29" t="s">
        <v>35</v>
      </c>
      <c r="E2" s="29" t="s">
        <v>36</v>
      </c>
      <c r="F2" s="29" t="s">
        <v>37</v>
      </c>
      <c r="G2" s="36">
        <v>1</v>
      </c>
      <c r="H2" s="40" t="s">
        <v>22</v>
      </c>
      <c r="I2" s="40" t="s">
        <v>22</v>
      </c>
      <c r="J2" s="29" t="s">
        <v>139</v>
      </c>
      <c r="K2" s="28" t="s">
        <v>137</v>
      </c>
      <c r="L2" s="38">
        <v>8.1549999999999994</v>
      </c>
      <c r="M2" s="28" t="s">
        <v>137</v>
      </c>
      <c r="N2" s="38">
        <v>6.1710000000000003</v>
      </c>
      <c r="O2" s="28" t="s">
        <v>137</v>
      </c>
      <c r="P2" s="38">
        <v>2.859</v>
      </c>
      <c r="Q2" s="38">
        <v>3.0960000000000001</v>
      </c>
      <c r="R2" s="28" t="s">
        <v>137</v>
      </c>
      <c r="S2" s="38" t="s">
        <v>137</v>
      </c>
      <c r="T2" s="29">
        <f>COUNT(K2:S13)</f>
        <v>48</v>
      </c>
      <c r="V2" s="45"/>
      <c r="W2" s="44"/>
      <c r="X2" s="44"/>
      <c r="Z2" s="46"/>
      <c r="AA2" s="46"/>
      <c r="AB2" s="46"/>
      <c r="AC2" s="46"/>
      <c r="AD2" s="46"/>
      <c r="AE2" s="46"/>
      <c r="AN2" s="46"/>
    </row>
    <row r="3" spans="1:40" x14ac:dyDescent="0.2">
      <c r="A3" s="29">
        <v>2</v>
      </c>
      <c r="B3" s="29" t="s">
        <v>54</v>
      </c>
      <c r="C3" s="29" t="s">
        <v>55</v>
      </c>
      <c r="D3" s="29" t="s">
        <v>35</v>
      </c>
      <c r="E3" s="29" t="s">
        <v>36</v>
      </c>
      <c r="F3" s="29" t="s">
        <v>37</v>
      </c>
      <c r="G3" s="39">
        <v>2</v>
      </c>
      <c r="H3" s="40" t="s">
        <v>22</v>
      </c>
      <c r="I3" s="40" t="s">
        <v>22</v>
      </c>
      <c r="J3" s="29" t="s">
        <v>140</v>
      </c>
      <c r="K3" s="28" t="s">
        <v>137</v>
      </c>
      <c r="L3" s="38">
        <v>7.8220000000000001</v>
      </c>
      <c r="M3" s="28" t="s">
        <v>137</v>
      </c>
      <c r="N3" s="38">
        <v>6.2439999999999998</v>
      </c>
      <c r="O3" s="28" t="s">
        <v>137</v>
      </c>
      <c r="P3" s="38">
        <v>2.718</v>
      </c>
      <c r="Q3" s="38">
        <v>2.9969999999999999</v>
      </c>
      <c r="R3" s="28" t="s">
        <v>137</v>
      </c>
      <c r="S3" s="38" t="s">
        <v>137</v>
      </c>
      <c r="T3" s="29">
        <f>COUNT(K2:K13)</f>
        <v>0</v>
      </c>
      <c r="V3" s="45"/>
      <c r="W3" s="44"/>
      <c r="X3" s="44"/>
      <c r="Z3" s="46"/>
      <c r="AA3" s="46"/>
      <c r="AB3" s="46"/>
      <c r="AC3" s="46"/>
      <c r="AD3" s="46"/>
      <c r="AE3" s="46"/>
      <c r="AN3" s="46"/>
    </row>
    <row r="4" spans="1:40" x14ac:dyDescent="0.2">
      <c r="A4" s="29">
        <v>3</v>
      </c>
      <c r="B4" s="29" t="s">
        <v>54</v>
      </c>
      <c r="C4" s="29" t="s">
        <v>55</v>
      </c>
      <c r="D4" s="29" t="s">
        <v>35</v>
      </c>
      <c r="E4" s="29" t="s">
        <v>36</v>
      </c>
      <c r="F4" s="29" t="s">
        <v>37</v>
      </c>
      <c r="G4" s="41">
        <v>3</v>
      </c>
      <c r="H4" s="40" t="s">
        <v>22</v>
      </c>
      <c r="I4" s="40" t="s">
        <v>22</v>
      </c>
      <c r="J4" s="29" t="s">
        <v>141</v>
      </c>
      <c r="K4" s="28" t="s">
        <v>137</v>
      </c>
      <c r="L4" s="38">
        <v>7.8049999999999997</v>
      </c>
      <c r="M4" s="28" t="s">
        <v>137</v>
      </c>
      <c r="N4" s="38">
        <v>6.4790000000000001</v>
      </c>
      <c r="O4" s="28" t="s">
        <v>137</v>
      </c>
      <c r="P4" s="38">
        <v>2.6040000000000001</v>
      </c>
      <c r="Q4" s="38">
        <v>2.706</v>
      </c>
      <c r="R4" s="28" t="s">
        <v>137</v>
      </c>
      <c r="S4" s="38" t="s">
        <v>137</v>
      </c>
      <c r="T4" s="29">
        <f>COUNT(L2:L13)</f>
        <v>12</v>
      </c>
      <c r="V4" s="45"/>
      <c r="W4" s="44"/>
      <c r="X4" s="44"/>
      <c r="Z4" s="46"/>
      <c r="AA4" s="46"/>
      <c r="AB4" s="46"/>
      <c r="AC4" s="46"/>
      <c r="AD4" s="46"/>
      <c r="AE4" s="46"/>
      <c r="AN4" s="46"/>
    </row>
    <row r="5" spans="1:40" x14ac:dyDescent="0.2">
      <c r="A5" s="29">
        <v>4</v>
      </c>
      <c r="B5" s="29" t="s">
        <v>54</v>
      </c>
      <c r="C5" s="29" t="s">
        <v>55</v>
      </c>
      <c r="D5" s="29" t="s">
        <v>35</v>
      </c>
      <c r="E5" s="29" t="s">
        <v>36</v>
      </c>
      <c r="F5" s="29" t="s">
        <v>37</v>
      </c>
      <c r="G5" s="36">
        <v>1</v>
      </c>
      <c r="H5" s="40" t="s">
        <v>22</v>
      </c>
      <c r="I5" s="40" t="s">
        <v>22</v>
      </c>
      <c r="J5" s="29" t="s">
        <v>142</v>
      </c>
      <c r="K5" s="28" t="s">
        <v>137</v>
      </c>
      <c r="L5" s="38">
        <v>8.0440000000000005</v>
      </c>
      <c r="M5" s="28" t="s">
        <v>137</v>
      </c>
      <c r="N5" s="38">
        <v>6.1769999999999996</v>
      </c>
      <c r="O5" s="28" t="s">
        <v>137</v>
      </c>
      <c r="P5" s="38">
        <v>2.5049999999999999</v>
      </c>
      <c r="Q5" s="38">
        <v>2.9769999999999999</v>
      </c>
      <c r="R5" s="28" t="s">
        <v>137</v>
      </c>
      <c r="S5" s="38" t="s">
        <v>137</v>
      </c>
      <c r="T5" s="29">
        <f>COUNT(M2:M13)</f>
        <v>0</v>
      </c>
      <c r="V5" s="45"/>
      <c r="W5" s="44"/>
      <c r="X5" s="44"/>
      <c r="Z5" s="46"/>
      <c r="AA5" s="46"/>
      <c r="AB5" s="46"/>
      <c r="AC5" s="46"/>
      <c r="AD5" s="46"/>
      <c r="AE5" s="46"/>
      <c r="AN5" s="46"/>
    </row>
    <row r="6" spans="1:40" x14ac:dyDescent="0.2">
      <c r="A6" s="29">
        <v>5</v>
      </c>
      <c r="B6" s="29" t="s">
        <v>54</v>
      </c>
      <c r="C6" s="29" t="s">
        <v>55</v>
      </c>
      <c r="D6" s="29" t="s">
        <v>35</v>
      </c>
      <c r="E6" s="29" t="s">
        <v>36</v>
      </c>
      <c r="F6" s="29" t="s">
        <v>37</v>
      </c>
      <c r="G6" s="39">
        <v>2</v>
      </c>
      <c r="H6" s="40" t="s">
        <v>22</v>
      </c>
      <c r="I6" s="40" t="s">
        <v>22</v>
      </c>
      <c r="J6" s="29" t="s">
        <v>143</v>
      </c>
      <c r="K6" s="28" t="s">
        <v>137</v>
      </c>
      <c r="L6" s="38">
        <v>7.9969999999999999</v>
      </c>
      <c r="M6" s="28" t="s">
        <v>137</v>
      </c>
      <c r="N6" s="38">
        <v>6.2329999999999997</v>
      </c>
      <c r="O6" s="28" t="s">
        <v>137</v>
      </c>
      <c r="P6" s="38">
        <v>2.6930000000000001</v>
      </c>
      <c r="Q6" s="38">
        <v>2.9649999999999999</v>
      </c>
      <c r="R6" s="28" t="s">
        <v>137</v>
      </c>
      <c r="S6" s="38" t="s">
        <v>137</v>
      </c>
      <c r="T6" s="29">
        <f>COUNT(N2:N13)</f>
        <v>12</v>
      </c>
      <c r="V6" s="45"/>
      <c r="W6" s="44"/>
      <c r="X6" s="44"/>
      <c r="Z6" s="46"/>
      <c r="AA6" s="46"/>
      <c r="AB6" s="46"/>
      <c r="AC6" s="46"/>
      <c r="AD6" s="46"/>
      <c r="AE6" s="46"/>
      <c r="AN6" s="46"/>
    </row>
    <row r="7" spans="1:40" x14ac:dyDescent="0.2">
      <c r="A7" s="29">
        <v>6</v>
      </c>
      <c r="B7" s="29" t="s">
        <v>54</v>
      </c>
      <c r="C7" s="29" t="s">
        <v>55</v>
      </c>
      <c r="D7" s="29" t="s">
        <v>35</v>
      </c>
      <c r="E7" s="29" t="s">
        <v>36</v>
      </c>
      <c r="F7" s="29" t="s">
        <v>37</v>
      </c>
      <c r="G7" s="41">
        <v>3</v>
      </c>
      <c r="H7" s="40" t="s">
        <v>22</v>
      </c>
      <c r="I7" s="40" t="s">
        <v>22</v>
      </c>
      <c r="J7" s="29" t="s">
        <v>144</v>
      </c>
      <c r="K7" s="28" t="s">
        <v>137</v>
      </c>
      <c r="L7" s="38">
        <v>7.8579999999999997</v>
      </c>
      <c r="M7" s="28" t="s">
        <v>137</v>
      </c>
      <c r="N7" s="38">
        <v>6.4939999999999998</v>
      </c>
      <c r="O7" s="28" t="s">
        <v>137</v>
      </c>
      <c r="P7" s="38">
        <v>2.6</v>
      </c>
      <c r="Q7" s="38">
        <v>2.7160000000000002</v>
      </c>
      <c r="R7" s="28" t="s">
        <v>137</v>
      </c>
      <c r="S7" s="38" t="s">
        <v>137</v>
      </c>
      <c r="T7" s="29">
        <f>COUNT(O2:O13)</f>
        <v>0</v>
      </c>
      <c r="V7" s="45"/>
      <c r="W7" s="44"/>
      <c r="X7" s="44"/>
      <c r="Z7" s="46"/>
      <c r="AA7" s="46"/>
      <c r="AB7" s="46"/>
      <c r="AC7" s="46"/>
      <c r="AD7" s="46"/>
      <c r="AE7" s="46"/>
      <c r="AN7" s="46"/>
    </row>
    <row r="8" spans="1:40" x14ac:dyDescent="0.2">
      <c r="A8" s="29">
        <v>7</v>
      </c>
      <c r="B8" s="29" t="s">
        <v>54</v>
      </c>
      <c r="C8" s="29" t="s">
        <v>55</v>
      </c>
      <c r="D8" s="29" t="s">
        <v>35</v>
      </c>
      <c r="E8" s="29" t="s">
        <v>36</v>
      </c>
      <c r="F8" s="29" t="s">
        <v>37</v>
      </c>
      <c r="G8" s="36">
        <v>1</v>
      </c>
      <c r="H8" s="40" t="s">
        <v>22</v>
      </c>
      <c r="I8" s="40" t="s">
        <v>22</v>
      </c>
      <c r="J8" s="29" t="s">
        <v>38</v>
      </c>
      <c r="K8" s="28" t="s">
        <v>137</v>
      </c>
      <c r="L8" s="38">
        <v>8.0549999999999997</v>
      </c>
      <c r="M8" s="28" t="s">
        <v>137</v>
      </c>
      <c r="N8" s="38">
        <v>6.2069999999999999</v>
      </c>
      <c r="O8" s="28" t="s">
        <v>137</v>
      </c>
      <c r="P8" s="38">
        <v>2.544</v>
      </c>
      <c r="Q8" s="38">
        <v>2.9980000000000002</v>
      </c>
      <c r="R8" s="28" t="s">
        <v>137</v>
      </c>
      <c r="S8" s="38" t="s">
        <v>137</v>
      </c>
      <c r="T8" s="29">
        <f>COUNT(P2:P13)</f>
        <v>12</v>
      </c>
      <c r="V8" s="45"/>
      <c r="W8" s="44"/>
      <c r="X8" s="44"/>
      <c r="Z8" s="46"/>
      <c r="AA8" s="46"/>
      <c r="AB8" s="46"/>
      <c r="AC8" s="46"/>
      <c r="AD8" s="46"/>
      <c r="AE8" s="46"/>
      <c r="AN8" s="46"/>
    </row>
    <row r="9" spans="1:40" x14ac:dyDescent="0.2">
      <c r="A9" s="29">
        <v>8</v>
      </c>
      <c r="B9" s="29" t="s">
        <v>54</v>
      </c>
      <c r="C9" s="29" t="s">
        <v>55</v>
      </c>
      <c r="D9" s="29" t="s">
        <v>35</v>
      </c>
      <c r="E9" s="29" t="s">
        <v>36</v>
      </c>
      <c r="F9" s="29" t="s">
        <v>37</v>
      </c>
      <c r="G9" s="39">
        <v>2</v>
      </c>
      <c r="H9" s="40" t="s">
        <v>22</v>
      </c>
      <c r="I9" s="40" t="s">
        <v>22</v>
      </c>
      <c r="J9" s="29" t="s">
        <v>39</v>
      </c>
      <c r="K9" s="28" t="s">
        <v>137</v>
      </c>
      <c r="L9" s="38">
        <v>7.9850000000000003</v>
      </c>
      <c r="M9" s="28" t="s">
        <v>137</v>
      </c>
      <c r="N9" s="38">
        <v>6.2329999999999997</v>
      </c>
      <c r="O9" s="28" t="s">
        <v>137</v>
      </c>
      <c r="P9" s="38">
        <v>2.702</v>
      </c>
      <c r="Q9" s="38">
        <v>2.9489999999999998</v>
      </c>
      <c r="R9" s="28" t="s">
        <v>137</v>
      </c>
      <c r="S9" s="38" t="s">
        <v>137</v>
      </c>
      <c r="T9" s="29">
        <f>COUNT(Q2:Q13)</f>
        <v>12</v>
      </c>
      <c r="V9" s="45"/>
      <c r="W9" s="44"/>
      <c r="X9" s="44"/>
      <c r="Z9" s="46"/>
      <c r="AA9" s="46"/>
      <c r="AB9" s="46"/>
      <c r="AC9" s="46"/>
      <c r="AD9" s="46"/>
      <c r="AE9" s="46"/>
      <c r="AN9" s="46"/>
    </row>
    <row r="10" spans="1:40" x14ac:dyDescent="0.2">
      <c r="A10" s="29">
        <v>9</v>
      </c>
      <c r="B10" s="29" t="s">
        <v>54</v>
      </c>
      <c r="C10" s="29" t="s">
        <v>55</v>
      </c>
      <c r="D10" s="29" t="s">
        <v>35</v>
      </c>
      <c r="E10" s="29" t="s">
        <v>36</v>
      </c>
      <c r="F10" s="29" t="s">
        <v>37</v>
      </c>
      <c r="G10" s="41">
        <v>3</v>
      </c>
      <c r="H10" s="40" t="s">
        <v>22</v>
      </c>
      <c r="I10" s="40" t="s">
        <v>22</v>
      </c>
      <c r="J10" s="29" t="s">
        <v>40</v>
      </c>
      <c r="K10" s="28" t="s">
        <v>137</v>
      </c>
      <c r="L10" s="38">
        <v>7.8280000000000003</v>
      </c>
      <c r="M10" s="28" t="s">
        <v>137</v>
      </c>
      <c r="N10" s="38">
        <v>6.49</v>
      </c>
      <c r="O10" s="28" t="s">
        <v>137</v>
      </c>
      <c r="P10" s="38">
        <v>2.601</v>
      </c>
      <c r="Q10" s="38">
        <v>2.7120000000000002</v>
      </c>
      <c r="R10" s="28" t="s">
        <v>137</v>
      </c>
      <c r="S10" s="38" t="s">
        <v>137</v>
      </c>
      <c r="T10" s="29">
        <f>COUNT(R2:R13)</f>
        <v>0</v>
      </c>
      <c r="V10" s="45"/>
      <c r="W10" s="44"/>
      <c r="X10" s="44"/>
      <c r="Z10" s="46"/>
      <c r="AA10" s="46"/>
      <c r="AB10" s="46"/>
      <c r="AC10" s="46"/>
      <c r="AD10" s="46"/>
      <c r="AE10" s="46"/>
      <c r="AN10" s="46"/>
    </row>
    <row r="11" spans="1:40" x14ac:dyDescent="0.2">
      <c r="A11" s="29">
        <v>10</v>
      </c>
      <c r="B11" s="29" t="s">
        <v>54</v>
      </c>
      <c r="C11" s="29" t="s">
        <v>55</v>
      </c>
      <c r="D11" s="29" t="s">
        <v>35</v>
      </c>
      <c r="E11" s="29" t="s">
        <v>36</v>
      </c>
      <c r="F11" s="29" t="s">
        <v>37</v>
      </c>
      <c r="G11" s="36">
        <v>1</v>
      </c>
      <c r="H11" s="40" t="s">
        <v>22</v>
      </c>
      <c r="I11" s="40" t="s">
        <v>22</v>
      </c>
      <c r="J11" s="29" t="s">
        <v>51</v>
      </c>
      <c r="K11" s="28" t="s">
        <v>137</v>
      </c>
      <c r="L11" s="38">
        <v>7.9950000000000001</v>
      </c>
      <c r="M11" s="28" t="s">
        <v>137</v>
      </c>
      <c r="N11" s="38">
        <v>6.1429999999999998</v>
      </c>
      <c r="O11" s="28" t="s">
        <v>137</v>
      </c>
      <c r="P11" s="38">
        <v>2.4409999999999998</v>
      </c>
      <c r="Q11" s="38">
        <v>2.8690000000000002</v>
      </c>
      <c r="R11" s="28" t="s">
        <v>137</v>
      </c>
      <c r="S11" s="38" t="s">
        <v>137</v>
      </c>
      <c r="T11" s="29">
        <f>COUNT(S2:S13)</f>
        <v>0</v>
      </c>
      <c r="V11" s="45"/>
      <c r="W11" s="44"/>
      <c r="X11" s="44"/>
      <c r="Z11" s="46"/>
      <c r="AA11" s="46"/>
      <c r="AB11" s="46"/>
      <c r="AC11" s="46"/>
      <c r="AD11" s="46"/>
      <c r="AE11" s="46"/>
      <c r="AN11" s="46"/>
    </row>
    <row r="12" spans="1:40" x14ac:dyDescent="0.2">
      <c r="A12" s="29">
        <v>11</v>
      </c>
      <c r="B12" s="29" t="s">
        <v>54</v>
      </c>
      <c r="C12" s="29" t="s">
        <v>55</v>
      </c>
      <c r="D12" s="29" t="s">
        <v>35</v>
      </c>
      <c r="E12" s="29" t="s">
        <v>36</v>
      </c>
      <c r="F12" s="29" t="s">
        <v>37</v>
      </c>
      <c r="G12" s="39">
        <v>2</v>
      </c>
      <c r="H12" s="40" t="s">
        <v>22</v>
      </c>
      <c r="I12" s="40" t="s">
        <v>22</v>
      </c>
      <c r="J12" s="29" t="s">
        <v>41</v>
      </c>
      <c r="K12" s="28" t="s">
        <v>137</v>
      </c>
      <c r="L12" s="38">
        <v>8.0299999999999994</v>
      </c>
      <c r="M12" s="28" t="s">
        <v>137</v>
      </c>
      <c r="N12" s="38">
        <v>6.0990000000000002</v>
      </c>
      <c r="O12" s="28" t="s">
        <v>137</v>
      </c>
      <c r="P12" s="38">
        <v>2.7480000000000002</v>
      </c>
      <c r="Q12" s="38">
        <v>2.762</v>
      </c>
      <c r="R12" s="28" t="s">
        <v>137</v>
      </c>
      <c r="S12" s="38" t="s">
        <v>137</v>
      </c>
      <c r="T12" s="29">
        <f>T2-SUM(T3:T11)</f>
        <v>0</v>
      </c>
      <c r="V12" s="45"/>
      <c r="W12" s="44"/>
      <c r="X12" s="44"/>
      <c r="Z12" s="46"/>
      <c r="AA12" s="46"/>
      <c r="AB12" s="46"/>
      <c r="AC12" s="46"/>
      <c r="AD12" s="46"/>
      <c r="AE12" s="46"/>
      <c r="AN12" s="46"/>
    </row>
    <row r="13" spans="1:40" x14ac:dyDescent="0.2">
      <c r="A13" s="29">
        <v>12</v>
      </c>
      <c r="B13" s="29" t="s">
        <v>54</v>
      </c>
      <c r="C13" s="29" t="s">
        <v>55</v>
      </c>
      <c r="D13" s="29" t="s">
        <v>35</v>
      </c>
      <c r="E13" s="29" t="s">
        <v>36</v>
      </c>
      <c r="F13" s="29" t="s">
        <v>37</v>
      </c>
      <c r="G13" s="41">
        <v>3</v>
      </c>
      <c r="H13" s="40" t="s">
        <v>22</v>
      </c>
      <c r="I13" s="40" t="s">
        <v>22</v>
      </c>
      <c r="J13" s="29" t="s">
        <v>28</v>
      </c>
      <c r="K13" s="28" t="s">
        <v>137</v>
      </c>
      <c r="L13" s="38">
        <v>7.726</v>
      </c>
      <c r="M13" s="28" t="s">
        <v>137</v>
      </c>
      <c r="N13" s="38">
        <v>6.2750000000000004</v>
      </c>
      <c r="O13" s="28" t="s">
        <v>137</v>
      </c>
      <c r="P13" s="38">
        <v>2.6320000000000001</v>
      </c>
      <c r="Q13" s="38">
        <v>2.8319999999999999</v>
      </c>
      <c r="R13" s="28" t="s">
        <v>137</v>
      </c>
      <c r="S13" s="38" t="s">
        <v>137</v>
      </c>
      <c r="T13" s="29">
        <v>9999</v>
      </c>
      <c r="V13" s="45"/>
      <c r="W13" s="44"/>
      <c r="X13" s="44"/>
      <c r="Z13" s="46"/>
      <c r="AA13" s="46"/>
      <c r="AB13" s="46"/>
      <c r="AC13" s="46"/>
      <c r="AD13" s="46"/>
      <c r="AE13" s="46"/>
      <c r="AN13" s="46"/>
    </row>
    <row r="14" spans="1:40" s="26" customForma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47"/>
      <c r="L14" s="48"/>
      <c r="M14" s="47"/>
      <c r="N14" s="48"/>
      <c r="O14" s="47"/>
      <c r="P14" s="48"/>
      <c r="Q14" s="48"/>
      <c r="R14" s="47"/>
      <c r="S14" s="48"/>
      <c r="T14" s="21"/>
      <c r="U14" s="25"/>
    </row>
    <row r="15" spans="1:40" x14ac:dyDescent="0.2">
      <c r="A15" s="29">
        <v>13</v>
      </c>
      <c r="B15" s="29" t="s">
        <v>72</v>
      </c>
      <c r="C15" s="29" t="s">
        <v>73</v>
      </c>
      <c r="D15" s="29" t="s">
        <v>35</v>
      </c>
      <c r="E15" s="29" t="s">
        <v>36</v>
      </c>
      <c r="F15" s="29" t="s">
        <v>37</v>
      </c>
      <c r="G15" s="36">
        <v>1</v>
      </c>
      <c r="H15" s="40" t="s">
        <v>22</v>
      </c>
      <c r="I15" s="40" t="s">
        <v>22</v>
      </c>
      <c r="J15" s="29" t="s">
        <v>24</v>
      </c>
      <c r="K15" s="28" t="s">
        <v>137</v>
      </c>
      <c r="L15" s="38">
        <v>8.1449999999999996</v>
      </c>
      <c r="M15" s="28" t="s">
        <v>137</v>
      </c>
      <c r="N15" s="38">
        <v>6.17</v>
      </c>
      <c r="O15" s="28" t="s">
        <v>137</v>
      </c>
      <c r="P15" s="38">
        <v>2.847</v>
      </c>
      <c r="Q15" s="38">
        <v>3.0979999999999999</v>
      </c>
      <c r="R15" s="28" t="s">
        <v>137</v>
      </c>
      <c r="S15" s="38">
        <v>11.983000000000001</v>
      </c>
      <c r="T15" s="29">
        <f>COUNT(K15:S26)</f>
        <v>60</v>
      </c>
      <c r="V15" s="42"/>
      <c r="W15" s="42"/>
      <c r="X15" s="42"/>
      <c r="Y15" s="42"/>
      <c r="Z15" s="42"/>
      <c r="AA15" s="42"/>
      <c r="AB15" s="42"/>
      <c r="AC15" s="49"/>
      <c r="AD15" s="50"/>
      <c r="AE15" s="49"/>
      <c r="AF15" s="50"/>
      <c r="AG15" s="49"/>
      <c r="AH15" s="50"/>
      <c r="AI15" s="50"/>
      <c r="AJ15" s="49"/>
      <c r="AK15" s="50"/>
      <c r="AL15" s="42"/>
      <c r="AN15" s="46"/>
    </row>
    <row r="16" spans="1:40" x14ac:dyDescent="0.2">
      <c r="A16" s="29">
        <v>14</v>
      </c>
      <c r="B16" s="29" t="s">
        <v>72</v>
      </c>
      <c r="C16" s="29" t="s">
        <v>73</v>
      </c>
      <c r="D16" s="29" t="s">
        <v>35</v>
      </c>
      <c r="E16" s="29" t="s">
        <v>36</v>
      </c>
      <c r="F16" s="29" t="s">
        <v>37</v>
      </c>
      <c r="G16" s="39">
        <v>2</v>
      </c>
      <c r="H16" s="40" t="s">
        <v>22</v>
      </c>
      <c r="I16" s="40" t="s">
        <v>22</v>
      </c>
      <c r="J16" s="29" t="s">
        <v>45</v>
      </c>
      <c r="K16" s="28" t="s">
        <v>137</v>
      </c>
      <c r="L16" s="38">
        <v>7.8170000000000002</v>
      </c>
      <c r="M16" s="28" t="s">
        <v>137</v>
      </c>
      <c r="N16" s="38">
        <v>6.2489999999999997</v>
      </c>
      <c r="O16" s="28" t="s">
        <v>137</v>
      </c>
      <c r="P16" s="38">
        <v>2.7149999999999999</v>
      </c>
      <c r="Q16" s="38">
        <v>2.9969999999999999</v>
      </c>
      <c r="R16" s="28" t="s">
        <v>137</v>
      </c>
      <c r="S16" s="38">
        <v>11.47</v>
      </c>
      <c r="T16" s="29">
        <f>COUNT(K15:K26)</f>
        <v>0</v>
      </c>
      <c r="V16" s="42"/>
      <c r="W16" s="42"/>
      <c r="X16" s="42"/>
      <c r="Y16" s="42"/>
      <c r="Z16" s="42"/>
      <c r="AA16" s="42"/>
      <c r="AB16" s="42"/>
      <c r="AC16" s="49"/>
      <c r="AD16" s="50"/>
      <c r="AE16" s="49"/>
      <c r="AF16" s="50"/>
      <c r="AG16" s="49"/>
      <c r="AH16" s="50"/>
      <c r="AI16" s="50"/>
      <c r="AJ16" s="49"/>
      <c r="AK16" s="50"/>
      <c r="AL16" s="42"/>
      <c r="AN16" s="46"/>
    </row>
    <row r="17" spans="1:52" x14ac:dyDescent="0.2">
      <c r="A17" s="29">
        <v>15</v>
      </c>
      <c r="B17" s="29" t="s">
        <v>72</v>
      </c>
      <c r="C17" s="29" t="s">
        <v>73</v>
      </c>
      <c r="D17" s="29" t="s">
        <v>35</v>
      </c>
      <c r="E17" s="29" t="s">
        <v>36</v>
      </c>
      <c r="F17" s="29" t="s">
        <v>37</v>
      </c>
      <c r="G17" s="41">
        <v>3</v>
      </c>
      <c r="H17" s="40" t="s">
        <v>22</v>
      </c>
      <c r="I17" s="40" t="s">
        <v>22</v>
      </c>
      <c r="J17" s="29" t="s">
        <v>46</v>
      </c>
      <c r="K17" s="28" t="s">
        <v>137</v>
      </c>
      <c r="L17" s="38">
        <v>7.8</v>
      </c>
      <c r="M17" s="28" t="s">
        <v>137</v>
      </c>
      <c r="N17" s="38">
        <v>6.48</v>
      </c>
      <c r="O17" s="28" t="s">
        <v>137</v>
      </c>
      <c r="P17" s="38">
        <v>2.5880000000000001</v>
      </c>
      <c r="Q17" s="38">
        <v>2.7080000000000002</v>
      </c>
      <c r="R17" s="28" t="s">
        <v>137</v>
      </c>
      <c r="S17" s="38">
        <v>11.339</v>
      </c>
      <c r="T17" s="29">
        <f>COUNT(L15:L26)</f>
        <v>12</v>
      </c>
      <c r="V17" s="42"/>
      <c r="W17" s="42"/>
      <c r="X17" s="42"/>
      <c r="Y17" s="42"/>
      <c r="Z17" s="42"/>
      <c r="AA17" s="42"/>
      <c r="AB17" s="42"/>
      <c r="AC17" s="49"/>
      <c r="AD17" s="50"/>
      <c r="AE17" s="49"/>
      <c r="AF17" s="50"/>
      <c r="AG17" s="49"/>
      <c r="AH17" s="50"/>
      <c r="AI17" s="50"/>
      <c r="AJ17" s="49"/>
      <c r="AK17" s="50"/>
      <c r="AL17" s="42"/>
      <c r="AN17" s="46"/>
    </row>
    <row r="18" spans="1:52" x14ac:dyDescent="0.2">
      <c r="A18" s="29">
        <v>16</v>
      </c>
      <c r="B18" s="29" t="s">
        <v>72</v>
      </c>
      <c r="C18" s="29" t="s">
        <v>73</v>
      </c>
      <c r="D18" s="29" t="s">
        <v>35</v>
      </c>
      <c r="E18" s="29" t="s">
        <v>36</v>
      </c>
      <c r="F18" s="29" t="s">
        <v>37</v>
      </c>
      <c r="G18" s="36">
        <v>1</v>
      </c>
      <c r="H18" s="40" t="s">
        <v>22</v>
      </c>
      <c r="I18" s="40" t="s">
        <v>22</v>
      </c>
      <c r="J18" s="29" t="s">
        <v>25</v>
      </c>
      <c r="K18" s="28" t="s">
        <v>137</v>
      </c>
      <c r="L18" s="38">
        <v>8.0489999999999995</v>
      </c>
      <c r="M18" s="28" t="s">
        <v>137</v>
      </c>
      <c r="N18" s="38">
        <v>6.1829999999999998</v>
      </c>
      <c r="O18" s="28" t="s">
        <v>137</v>
      </c>
      <c r="P18" s="38">
        <v>2.5110000000000001</v>
      </c>
      <c r="Q18" s="38">
        <v>2.9910000000000001</v>
      </c>
      <c r="R18" s="28" t="s">
        <v>137</v>
      </c>
      <c r="S18" s="38">
        <v>11.808999999999999</v>
      </c>
      <c r="T18" s="29">
        <f>COUNT(M15:M26)</f>
        <v>0</v>
      </c>
      <c r="V18" s="42"/>
      <c r="W18" s="42"/>
      <c r="X18" s="42"/>
      <c r="Y18" s="42"/>
      <c r="Z18" s="42"/>
      <c r="AA18" s="42"/>
      <c r="AB18" s="42"/>
      <c r="AC18" s="49"/>
      <c r="AD18" s="50"/>
      <c r="AE18" s="49"/>
      <c r="AF18" s="50"/>
      <c r="AG18" s="49"/>
      <c r="AH18" s="50"/>
      <c r="AI18" s="50"/>
      <c r="AJ18" s="49"/>
      <c r="AK18" s="50"/>
      <c r="AL18" s="42"/>
      <c r="AN18" s="46"/>
    </row>
    <row r="19" spans="1:52" x14ac:dyDescent="0.2">
      <c r="A19" s="29">
        <v>17</v>
      </c>
      <c r="B19" s="29" t="s">
        <v>72</v>
      </c>
      <c r="C19" s="29" t="s">
        <v>73</v>
      </c>
      <c r="D19" s="29" t="s">
        <v>35</v>
      </c>
      <c r="E19" s="29" t="s">
        <v>36</v>
      </c>
      <c r="F19" s="29" t="s">
        <v>37</v>
      </c>
      <c r="G19" s="39">
        <v>2</v>
      </c>
      <c r="H19" s="40" t="s">
        <v>22</v>
      </c>
      <c r="I19" s="40" t="s">
        <v>22</v>
      </c>
      <c r="J19" s="29" t="s">
        <v>26</v>
      </c>
      <c r="K19" s="28" t="s">
        <v>137</v>
      </c>
      <c r="L19" s="38">
        <v>7.984</v>
      </c>
      <c r="M19" s="28" t="s">
        <v>137</v>
      </c>
      <c r="N19" s="38">
        <v>6.242</v>
      </c>
      <c r="O19" s="28" t="s">
        <v>137</v>
      </c>
      <c r="P19" s="38">
        <v>2.6960000000000002</v>
      </c>
      <c r="Q19" s="38">
        <v>2.96</v>
      </c>
      <c r="R19" s="28" t="s">
        <v>137</v>
      </c>
      <c r="S19" s="38">
        <v>11.494</v>
      </c>
      <c r="T19" s="29">
        <f>COUNT(N15:N26)</f>
        <v>12</v>
      </c>
      <c r="V19" s="42"/>
      <c r="W19" s="42"/>
      <c r="X19" s="42"/>
      <c r="Y19" s="42"/>
      <c r="Z19" s="42"/>
      <c r="AA19" s="42"/>
      <c r="AB19" s="42"/>
      <c r="AC19" s="49"/>
      <c r="AD19" s="50"/>
      <c r="AE19" s="49"/>
      <c r="AF19" s="50"/>
      <c r="AG19" s="49"/>
      <c r="AH19" s="50"/>
      <c r="AI19" s="50"/>
      <c r="AJ19" s="49"/>
      <c r="AK19" s="50"/>
      <c r="AL19" s="42"/>
      <c r="AN19" s="46"/>
    </row>
    <row r="20" spans="1:52" x14ac:dyDescent="0.2">
      <c r="A20" s="29">
        <v>18</v>
      </c>
      <c r="B20" s="29" t="s">
        <v>72</v>
      </c>
      <c r="C20" s="29" t="s">
        <v>73</v>
      </c>
      <c r="D20" s="29" t="s">
        <v>35</v>
      </c>
      <c r="E20" s="29" t="s">
        <v>36</v>
      </c>
      <c r="F20" s="29" t="s">
        <v>37</v>
      </c>
      <c r="G20" s="41">
        <v>3</v>
      </c>
      <c r="H20" s="40" t="s">
        <v>22</v>
      </c>
      <c r="I20" s="40" t="s">
        <v>22</v>
      </c>
      <c r="J20" s="29" t="s">
        <v>27</v>
      </c>
      <c r="K20" s="28" t="s">
        <v>137</v>
      </c>
      <c r="L20" s="38">
        <v>7.85</v>
      </c>
      <c r="M20" s="28" t="s">
        <v>137</v>
      </c>
      <c r="N20" s="38">
        <v>6.4850000000000003</v>
      </c>
      <c r="O20" s="28" t="s">
        <v>137</v>
      </c>
      <c r="P20" s="38">
        <v>2.585</v>
      </c>
      <c r="Q20" s="38">
        <v>2.7080000000000002</v>
      </c>
      <c r="R20" s="28" t="s">
        <v>137</v>
      </c>
      <c r="S20" s="38">
        <v>11.348000000000001</v>
      </c>
      <c r="T20" s="29">
        <f>COUNT(O15:O26)</f>
        <v>0</v>
      </c>
      <c r="V20" s="42"/>
      <c r="W20" s="42"/>
      <c r="X20" s="42"/>
      <c r="Y20" s="42"/>
      <c r="Z20" s="42"/>
      <c r="AA20" s="42"/>
      <c r="AB20" s="42"/>
      <c r="AC20" s="49"/>
      <c r="AD20" s="50"/>
      <c r="AE20" s="49"/>
      <c r="AF20" s="50"/>
      <c r="AG20" s="49"/>
      <c r="AH20" s="50"/>
      <c r="AI20" s="50"/>
      <c r="AJ20" s="49"/>
      <c r="AK20" s="50"/>
      <c r="AL20" s="42"/>
      <c r="AN20" s="46"/>
    </row>
    <row r="21" spans="1:52" x14ac:dyDescent="0.2">
      <c r="A21" s="29">
        <v>19</v>
      </c>
      <c r="B21" s="29" t="s">
        <v>72</v>
      </c>
      <c r="C21" s="29" t="s">
        <v>73</v>
      </c>
      <c r="D21" s="29" t="s">
        <v>35</v>
      </c>
      <c r="E21" s="29" t="s">
        <v>36</v>
      </c>
      <c r="F21" s="29" t="s">
        <v>37</v>
      </c>
      <c r="G21" s="36">
        <v>1</v>
      </c>
      <c r="H21" s="40" t="s">
        <v>22</v>
      </c>
      <c r="I21" s="40" t="s">
        <v>22</v>
      </c>
      <c r="J21" s="29" t="s">
        <v>38</v>
      </c>
      <c r="K21" s="28" t="s">
        <v>137</v>
      </c>
      <c r="L21" s="38">
        <v>8.06</v>
      </c>
      <c r="M21" s="28" t="s">
        <v>137</v>
      </c>
      <c r="N21" s="38">
        <v>6.2119999999999997</v>
      </c>
      <c r="O21" s="28" t="s">
        <v>137</v>
      </c>
      <c r="P21" s="38">
        <v>2.552</v>
      </c>
      <c r="Q21" s="38">
        <v>3.0110000000000001</v>
      </c>
      <c r="R21" s="28" t="s">
        <v>137</v>
      </c>
      <c r="S21" s="38">
        <v>11.894</v>
      </c>
      <c r="T21" s="29">
        <f>COUNT(P15:P26)</f>
        <v>12</v>
      </c>
      <c r="V21" s="42"/>
      <c r="W21" s="42"/>
      <c r="X21" s="42"/>
      <c r="Y21" s="42"/>
      <c r="Z21" s="42"/>
      <c r="AA21" s="42"/>
      <c r="AB21" s="42"/>
      <c r="AC21" s="49"/>
      <c r="AD21" s="50"/>
      <c r="AE21" s="49"/>
      <c r="AF21" s="50"/>
      <c r="AG21" s="49"/>
      <c r="AH21" s="50"/>
      <c r="AI21" s="50"/>
      <c r="AJ21" s="49"/>
      <c r="AK21" s="50"/>
      <c r="AL21" s="42"/>
      <c r="AN21" s="46"/>
    </row>
    <row r="22" spans="1:52" x14ac:dyDescent="0.2">
      <c r="A22" s="29">
        <v>20</v>
      </c>
      <c r="B22" s="29" t="s">
        <v>72</v>
      </c>
      <c r="C22" s="29" t="s">
        <v>73</v>
      </c>
      <c r="D22" s="29" t="s">
        <v>35</v>
      </c>
      <c r="E22" s="29" t="s">
        <v>36</v>
      </c>
      <c r="F22" s="29" t="s">
        <v>37</v>
      </c>
      <c r="G22" s="39">
        <v>2</v>
      </c>
      <c r="H22" s="40" t="s">
        <v>22</v>
      </c>
      <c r="I22" s="40" t="s">
        <v>22</v>
      </c>
      <c r="J22" s="29" t="s">
        <v>39</v>
      </c>
      <c r="K22" s="28" t="s">
        <v>137</v>
      </c>
      <c r="L22" s="38">
        <v>7.9749999999999996</v>
      </c>
      <c r="M22" s="28" t="s">
        <v>137</v>
      </c>
      <c r="N22" s="38">
        <v>6.2469999999999999</v>
      </c>
      <c r="O22" s="28" t="s">
        <v>137</v>
      </c>
      <c r="P22" s="38">
        <v>2.6920000000000002</v>
      </c>
      <c r="Q22" s="38">
        <v>2.9590000000000001</v>
      </c>
      <c r="R22" s="28" t="s">
        <v>137</v>
      </c>
      <c r="S22" s="38">
        <v>11.409000000000001</v>
      </c>
      <c r="T22" s="29">
        <f>COUNT(Q15:Q26)</f>
        <v>12</v>
      </c>
      <c r="V22" s="42"/>
      <c r="W22" s="42"/>
      <c r="X22" s="42"/>
      <c r="Y22" s="42"/>
      <c r="Z22" s="42"/>
      <c r="AA22" s="42"/>
      <c r="AB22" s="42"/>
      <c r="AC22" s="49"/>
      <c r="AD22" s="50"/>
      <c r="AE22" s="49"/>
      <c r="AF22" s="50"/>
      <c r="AG22" s="49"/>
      <c r="AH22" s="50"/>
      <c r="AI22" s="50"/>
      <c r="AJ22" s="49"/>
      <c r="AK22" s="50"/>
      <c r="AL22" s="42"/>
      <c r="AN22" s="46"/>
    </row>
    <row r="23" spans="1:52" x14ac:dyDescent="0.2">
      <c r="A23" s="29">
        <v>21</v>
      </c>
      <c r="B23" s="29" t="s">
        <v>72</v>
      </c>
      <c r="C23" s="29" t="s">
        <v>73</v>
      </c>
      <c r="D23" s="29" t="s">
        <v>35</v>
      </c>
      <c r="E23" s="29" t="s">
        <v>36</v>
      </c>
      <c r="F23" s="29" t="s">
        <v>37</v>
      </c>
      <c r="G23" s="41">
        <v>3</v>
      </c>
      <c r="H23" s="40" t="s">
        <v>22</v>
      </c>
      <c r="I23" s="40" t="s">
        <v>22</v>
      </c>
      <c r="J23" s="29" t="s">
        <v>40</v>
      </c>
      <c r="K23" s="28" t="s">
        <v>137</v>
      </c>
      <c r="L23" s="38">
        <v>7.82</v>
      </c>
      <c r="M23" s="28" t="s">
        <v>137</v>
      </c>
      <c r="N23" s="38">
        <v>6.484</v>
      </c>
      <c r="O23" s="28" t="s">
        <v>137</v>
      </c>
      <c r="P23" s="38">
        <v>2.5870000000000002</v>
      </c>
      <c r="Q23" s="38">
        <v>2.7080000000000002</v>
      </c>
      <c r="R23" s="28" t="s">
        <v>137</v>
      </c>
      <c r="S23" s="38">
        <v>11.095000000000001</v>
      </c>
      <c r="T23" s="29">
        <f>COUNT(R15:R26)</f>
        <v>0</v>
      </c>
      <c r="V23" s="42"/>
      <c r="W23" s="42"/>
      <c r="X23" s="42"/>
      <c r="Y23" s="42"/>
      <c r="Z23" s="42"/>
      <c r="AA23" s="42"/>
      <c r="AB23" s="42"/>
      <c r="AC23" s="49"/>
      <c r="AD23" s="50"/>
      <c r="AE23" s="49"/>
      <c r="AF23" s="50"/>
      <c r="AG23" s="49"/>
      <c r="AH23" s="50"/>
      <c r="AI23" s="50"/>
      <c r="AJ23" s="49"/>
      <c r="AK23" s="50"/>
      <c r="AL23" s="42"/>
      <c r="AN23" s="46"/>
    </row>
    <row r="24" spans="1:52" x14ac:dyDescent="0.2">
      <c r="A24" s="29">
        <v>22</v>
      </c>
      <c r="B24" s="29" t="s">
        <v>72</v>
      </c>
      <c r="C24" s="29" t="s">
        <v>73</v>
      </c>
      <c r="D24" s="29" t="s">
        <v>35</v>
      </c>
      <c r="E24" s="29" t="s">
        <v>36</v>
      </c>
      <c r="F24" s="29" t="s">
        <v>37</v>
      </c>
      <c r="G24" s="36">
        <v>1</v>
      </c>
      <c r="H24" s="40" t="s">
        <v>22</v>
      </c>
      <c r="I24" s="40" t="s">
        <v>22</v>
      </c>
      <c r="J24" s="29" t="s">
        <v>51</v>
      </c>
      <c r="K24" s="28" t="s">
        <v>137</v>
      </c>
      <c r="L24" s="38">
        <v>7.9969999999999999</v>
      </c>
      <c r="M24" s="28" t="s">
        <v>137</v>
      </c>
      <c r="N24" s="38">
        <v>6.1459999999999999</v>
      </c>
      <c r="O24" s="28" t="s">
        <v>137</v>
      </c>
      <c r="P24" s="38">
        <v>2.4500000000000002</v>
      </c>
      <c r="Q24" s="38">
        <v>2.8740000000000001</v>
      </c>
      <c r="R24" s="28" t="s">
        <v>137</v>
      </c>
      <c r="S24" s="38">
        <v>11.66</v>
      </c>
      <c r="T24" s="29">
        <f>COUNT(S15:S26)</f>
        <v>12</v>
      </c>
      <c r="V24" s="42"/>
      <c r="W24" s="42"/>
      <c r="X24" s="42"/>
      <c r="Y24" s="42"/>
      <c r="Z24" s="42"/>
      <c r="AA24" s="42"/>
      <c r="AB24" s="42"/>
      <c r="AC24" s="49"/>
      <c r="AD24" s="50"/>
      <c r="AE24" s="49"/>
      <c r="AF24" s="50"/>
      <c r="AG24" s="49"/>
      <c r="AH24" s="50"/>
      <c r="AI24" s="50"/>
      <c r="AJ24" s="49"/>
      <c r="AK24" s="50"/>
      <c r="AL24" s="42"/>
      <c r="AN24" s="46"/>
    </row>
    <row r="25" spans="1:52" x14ac:dyDescent="0.2">
      <c r="A25" s="29">
        <v>23</v>
      </c>
      <c r="B25" s="29" t="s">
        <v>72</v>
      </c>
      <c r="C25" s="29" t="s">
        <v>73</v>
      </c>
      <c r="D25" s="29" t="s">
        <v>35</v>
      </c>
      <c r="E25" s="29" t="s">
        <v>36</v>
      </c>
      <c r="F25" s="29" t="s">
        <v>37</v>
      </c>
      <c r="G25" s="39">
        <v>2</v>
      </c>
      <c r="H25" s="40" t="s">
        <v>22</v>
      </c>
      <c r="I25" s="40" t="s">
        <v>22</v>
      </c>
      <c r="J25" s="29" t="s">
        <v>41</v>
      </c>
      <c r="K25" s="28" t="s">
        <v>137</v>
      </c>
      <c r="L25" s="38">
        <v>8.0190000000000001</v>
      </c>
      <c r="M25" s="28" t="s">
        <v>137</v>
      </c>
      <c r="N25" s="38">
        <v>6.0949999999999998</v>
      </c>
      <c r="O25" s="28" t="s">
        <v>137</v>
      </c>
      <c r="P25" s="38">
        <v>2.7530000000000001</v>
      </c>
      <c r="Q25" s="38">
        <v>2.7530000000000001</v>
      </c>
      <c r="R25" s="28" t="s">
        <v>137</v>
      </c>
      <c r="S25" s="38">
        <v>11.548999999999999</v>
      </c>
      <c r="T25" s="29">
        <f>T15-SUM(T16:T24)</f>
        <v>0</v>
      </c>
      <c r="V25" s="42"/>
      <c r="W25" s="42"/>
      <c r="X25" s="42"/>
      <c r="Y25" s="42"/>
      <c r="Z25" s="42"/>
      <c r="AA25" s="42"/>
      <c r="AB25" s="42"/>
      <c r="AC25" s="49"/>
      <c r="AD25" s="50"/>
      <c r="AE25" s="49"/>
      <c r="AF25" s="50"/>
      <c r="AG25" s="49"/>
      <c r="AH25" s="50"/>
      <c r="AI25" s="50"/>
      <c r="AJ25" s="49"/>
      <c r="AK25" s="50"/>
      <c r="AL25" s="42"/>
      <c r="AN25" s="46"/>
    </row>
    <row r="26" spans="1:52" x14ac:dyDescent="0.2">
      <c r="A26" s="29">
        <v>24</v>
      </c>
      <c r="B26" s="29" t="s">
        <v>72</v>
      </c>
      <c r="C26" s="29" t="s">
        <v>73</v>
      </c>
      <c r="D26" s="29" t="s">
        <v>35</v>
      </c>
      <c r="E26" s="29" t="s">
        <v>36</v>
      </c>
      <c r="F26" s="29" t="s">
        <v>37</v>
      </c>
      <c r="G26" s="41">
        <v>3</v>
      </c>
      <c r="H26" s="40" t="s">
        <v>22</v>
      </c>
      <c r="I26" s="40" t="s">
        <v>22</v>
      </c>
      <c r="J26" s="29" t="s">
        <v>28</v>
      </c>
      <c r="K26" s="28" t="s">
        <v>137</v>
      </c>
      <c r="L26" s="38">
        <v>7.718</v>
      </c>
      <c r="M26" s="28" t="s">
        <v>137</v>
      </c>
      <c r="N26" s="38">
        <v>6.266</v>
      </c>
      <c r="O26" s="28" t="s">
        <v>137</v>
      </c>
      <c r="P26" s="38">
        <v>2.625</v>
      </c>
      <c r="Q26" s="38">
        <v>2.8210000000000002</v>
      </c>
      <c r="R26" s="28" t="s">
        <v>137</v>
      </c>
      <c r="S26" s="38">
        <v>11.282</v>
      </c>
      <c r="T26" s="29">
        <v>9999</v>
      </c>
      <c r="V26" s="42"/>
      <c r="W26" s="42"/>
      <c r="X26" s="42"/>
      <c r="Y26" s="42"/>
      <c r="Z26" s="42"/>
      <c r="AA26" s="42"/>
      <c r="AB26" s="42"/>
      <c r="AC26" s="49"/>
      <c r="AD26" s="50"/>
      <c r="AE26" s="49"/>
      <c r="AF26" s="50"/>
      <c r="AG26" s="49"/>
      <c r="AH26" s="50"/>
      <c r="AI26" s="50"/>
      <c r="AJ26" s="49"/>
      <c r="AK26" s="50"/>
      <c r="AL26" s="42"/>
      <c r="AN26" s="46"/>
    </row>
    <row r="27" spans="1:52" s="26" customForma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47"/>
      <c r="L27" s="48"/>
      <c r="M27" s="47"/>
      <c r="N27" s="48"/>
      <c r="O27" s="47"/>
      <c r="P27" s="48"/>
      <c r="Q27" s="48"/>
      <c r="R27" s="47"/>
      <c r="S27" s="48"/>
      <c r="T27" s="21"/>
      <c r="U27" s="25"/>
    </row>
    <row r="28" spans="1:52" x14ac:dyDescent="0.2">
      <c r="A28" s="29">
        <v>25</v>
      </c>
      <c r="B28" s="29" t="s">
        <v>43</v>
      </c>
      <c r="C28" s="29" t="s">
        <v>44</v>
      </c>
      <c r="D28" s="29" t="s">
        <v>35</v>
      </c>
      <c r="E28" s="29" t="s">
        <v>36</v>
      </c>
      <c r="F28" s="29" t="s">
        <v>37</v>
      </c>
      <c r="G28" s="36">
        <v>1</v>
      </c>
      <c r="H28" s="40" t="s">
        <v>22</v>
      </c>
      <c r="I28" s="40" t="s">
        <v>22</v>
      </c>
      <c r="J28" s="29" t="s">
        <v>24</v>
      </c>
      <c r="K28" s="28" t="s">
        <v>137</v>
      </c>
      <c r="L28" s="38">
        <v>8.0289999999999999</v>
      </c>
      <c r="M28" s="28" t="s">
        <v>137</v>
      </c>
      <c r="N28" s="38">
        <v>6.05</v>
      </c>
      <c r="O28" s="28" t="s">
        <v>137</v>
      </c>
      <c r="P28" s="38">
        <v>2.7610000000000001</v>
      </c>
      <c r="Q28" s="38">
        <v>2.9980000000000002</v>
      </c>
      <c r="R28" s="28" t="s">
        <v>137</v>
      </c>
      <c r="S28" s="38">
        <v>11.702</v>
      </c>
      <c r="T28" s="29">
        <f>COUNT(K28:S39)</f>
        <v>59</v>
      </c>
      <c r="V28" s="42"/>
      <c r="W28" s="42"/>
      <c r="X28" s="42"/>
      <c r="Y28" s="42"/>
      <c r="Z28" s="42"/>
      <c r="AA28" s="42"/>
      <c r="AB28" s="42"/>
      <c r="AC28" s="49"/>
      <c r="AD28" s="50"/>
      <c r="AE28" s="49"/>
      <c r="AF28" s="50"/>
      <c r="AG28" s="49"/>
      <c r="AH28" s="50"/>
      <c r="AI28" s="50"/>
      <c r="AJ28" s="49"/>
      <c r="AK28" s="50"/>
      <c r="AL28" s="42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</row>
    <row r="29" spans="1:52" x14ac:dyDescent="0.2">
      <c r="A29" s="29">
        <v>26</v>
      </c>
      <c r="B29" s="29" t="s">
        <v>43</v>
      </c>
      <c r="C29" s="29" t="s">
        <v>44</v>
      </c>
      <c r="D29" s="29" t="s">
        <v>35</v>
      </c>
      <c r="E29" s="29" t="s">
        <v>36</v>
      </c>
      <c r="F29" s="29" t="s">
        <v>37</v>
      </c>
      <c r="G29" s="39">
        <v>2</v>
      </c>
      <c r="H29" s="40" t="s">
        <v>22</v>
      </c>
      <c r="I29" s="40" t="s">
        <v>22</v>
      </c>
      <c r="J29" s="29" t="s">
        <v>45</v>
      </c>
      <c r="K29" s="28" t="s">
        <v>137</v>
      </c>
      <c r="L29" s="38">
        <v>7.6719999999999997</v>
      </c>
      <c r="M29" s="28" t="s">
        <v>137</v>
      </c>
      <c r="N29" s="38">
        <v>6.1260000000000003</v>
      </c>
      <c r="O29" s="28" t="s">
        <v>137</v>
      </c>
      <c r="P29" s="38">
        <v>2.5840000000000001</v>
      </c>
      <c r="Q29" s="38">
        <v>2.8660000000000001</v>
      </c>
      <c r="R29" s="28" t="s">
        <v>137</v>
      </c>
      <c r="S29" s="38">
        <v>11.298999999999999</v>
      </c>
      <c r="T29" s="29">
        <f>COUNT(K28:K39)</f>
        <v>0</v>
      </c>
      <c r="V29" s="42"/>
      <c r="W29" s="42"/>
      <c r="X29" s="42"/>
      <c r="Y29" s="42"/>
      <c r="Z29" s="42"/>
      <c r="AA29" s="42"/>
      <c r="AB29" s="42"/>
      <c r="AC29" s="49"/>
      <c r="AD29" s="50"/>
      <c r="AE29" s="49"/>
      <c r="AF29" s="50"/>
      <c r="AG29" s="49"/>
      <c r="AH29" s="50"/>
      <c r="AI29" s="50"/>
      <c r="AJ29" s="49"/>
      <c r="AK29" s="50"/>
      <c r="AL29" s="42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</row>
    <row r="30" spans="1:52" x14ac:dyDescent="0.2">
      <c r="A30" s="29">
        <v>27</v>
      </c>
      <c r="B30" s="29" t="s">
        <v>43</v>
      </c>
      <c r="C30" s="29" t="s">
        <v>44</v>
      </c>
      <c r="D30" s="29" t="s">
        <v>35</v>
      </c>
      <c r="E30" s="29" t="s">
        <v>36</v>
      </c>
      <c r="F30" s="29" t="s">
        <v>37</v>
      </c>
      <c r="G30" s="41">
        <v>3</v>
      </c>
      <c r="H30" s="40" t="s">
        <v>22</v>
      </c>
      <c r="I30" s="40" t="s">
        <v>22</v>
      </c>
      <c r="J30" s="29" t="s">
        <v>46</v>
      </c>
      <c r="K30" s="28" t="s">
        <v>137</v>
      </c>
      <c r="L30" s="38">
        <v>7.6840000000000002</v>
      </c>
      <c r="M30" s="28" t="s">
        <v>137</v>
      </c>
      <c r="N30" s="38">
        <v>6.0590000000000002</v>
      </c>
      <c r="O30" s="28" t="s">
        <v>137</v>
      </c>
      <c r="P30" s="38">
        <v>2.5950000000000002</v>
      </c>
      <c r="Q30" s="38">
        <v>2.879</v>
      </c>
      <c r="R30" s="28" t="s">
        <v>137</v>
      </c>
      <c r="S30" s="38">
        <v>11.154</v>
      </c>
      <c r="T30" s="29">
        <f>COUNT(L28:L39)</f>
        <v>12</v>
      </c>
      <c r="V30" s="42"/>
      <c r="W30" s="42"/>
      <c r="X30" s="42"/>
      <c r="Y30" s="42"/>
      <c r="Z30" s="42"/>
      <c r="AA30" s="42"/>
      <c r="AB30" s="42"/>
      <c r="AC30" s="49"/>
      <c r="AD30" s="50"/>
      <c r="AE30" s="49"/>
      <c r="AF30" s="50"/>
      <c r="AG30" s="49"/>
      <c r="AH30" s="50"/>
      <c r="AI30" s="50"/>
      <c r="AJ30" s="49"/>
      <c r="AK30" s="50"/>
      <c r="AL30" s="42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</row>
    <row r="31" spans="1:52" x14ac:dyDescent="0.2">
      <c r="A31" s="29">
        <v>28</v>
      </c>
      <c r="B31" s="29" t="s">
        <v>43</v>
      </c>
      <c r="C31" s="29" t="s">
        <v>44</v>
      </c>
      <c r="D31" s="29" t="s">
        <v>35</v>
      </c>
      <c r="E31" s="29" t="s">
        <v>36</v>
      </c>
      <c r="F31" s="29" t="s">
        <v>37</v>
      </c>
      <c r="G31" s="36">
        <v>1</v>
      </c>
      <c r="H31" s="40" t="s">
        <v>22</v>
      </c>
      <c r="I31" s="40" t="s">
        <v>22</v>
      </c>
      <c r="J31" s="29" t="s">
        <v>25</v>
      </c>
      <c r="K31" s="28" t="s">
        <v>137</v>
      </c>
      <c r="L31" s="38">
        <v>7.984</v>
      </c>
      <c r="M31" s="28" t="s">
        <v>137</v>
      </c>
      <c r="N31" s="38">
        <v>6.12</v>
      </c>
      <c r="O31" s="28" t="s">
        <v>137</v>
      </c>
      <c r="P31" s="38">
        <v>2.4470000000000001</v>
      </c>
      <c r="Q31" s="38">
        <v>2.891</v>
      </c>
      <c r="R31" s="28" t="s">
        <v>137</v>
      </c>
      <c r="S31" s="38">
        <v>11.68</v>
      </c>
      <c r="T31" s="29">
        <f>COUNT(M28:M39)</f>
        <v>0</v>
      </c>
      <c r="V31" s="42"/>
      <c r="W31" s="42"/>
      <c r="X31" s="42"/>
      <c r="Y31" s="42"/>
      <c r="Z31" s="42"/>
      <c r="AA31" s="42"/>
      <c r="AB31" s="42"/>
      <c r="AC31" s="49"/>
      <c r="AD31" s="50"/>
      <c r="AE31" s="49"/>
      <c r="AF31" s="50"/>
      <c r="AG31" s="49"/>
      <c r="AH31" s="50"/>
      <c r="AI31" s="50"/>
      <c r="AJ31" s="49"/>
      <c r="AK31" s="50"/>
      <c r="AL31" s="42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</row>
    <row r="32" spans="1:52" x14ac:dyDescent="0.2">
      <c r="A32" s="29">
        <v>29</v>
      </c>
      <c r="B32" s="29" t="s">
        <v>43</v>
      </c>
      <c r="C32" s="29" t="s">
        <v>44</v>
      </c>
      <c r="D32" s="29" t="s">
        <v>35</v>
      </c>
      <c r="E32" s="29" t="s">
        <v>36</v>
      </c>
      <c r="F32" s="29" t="s">
        <v>37</v>
      </c>
      <c r="G32" s="39">
        <v>2</v>
      </c>
      <c r="H32" s="40" t="s">
        <v>22</v>
      </c>
      <c r="I32" s="40" t="s">
        <v>22</v>
      </c>
      <c r="J32" s="29" t="s">
        <v>26</v>
      </c>
      <c r="K32" s="28" t="s">
        <v>137</v>
      </c>
      <c r="L32" s="38">
        <v>7.9139999999999997</v>
      </c>
      <c r="M32" s="28" t="s">
        <v>137</v>
      </c>
      <c r="N32" s="38">
        <v>6.0970000000000004</v>
      </c>
      <c r="O32" s="28" t="s">
        <v>137</v>
      </c>
      <c r="P32" s="38">
        <v>2.6230000000000002</v>
      </c>
      <c r="Q32" s="38">
        <v>2.7810000000000001</v>
      </c>
      <c r="R32" s="28" t="s">
        <v>137</v>
      </c>
      <c r="S32" s="38">
        <v>11.542</v>
      </c>
      <c r="T32" s="29">
        <f>COUNT(N28:N39)</f>
        <v>12</v>
      </c>
      <c r="V32" s="42"/>
      <c r="W32" s="42"/>
      <c r="X32" s="42"/>
      <c r="Y32" s="42"/>
      <c r="Z32" s="42"/>
      <c r="AA32" s="42"/>
      <c r="AB32" s="42"/>
      <c r="AC32" s="49"/>
      <c r="AD32" s="50"/>
      <c r="AE32" s="49"/>
      <c r="AF32" s="50"/>
      <c r="AG32" s="49"/>
      <c r="AH32" s="50"/>
      <c r="AI32" s="50"/>
      <c r="AJ32" s="49"/>
      <c r="AK32" s="50"/>
      <c r="AL32" s="42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</row>
    <row r="33" spans="1:52" x14ac:dyDescent="0.2">
      <c r="A33" s="29">
        <v>30</v>
      </c>
      <c r="B33" s="29" t="s">
        <v>43</v>
      </c>
      <c r="C33" s="29" t="s">
        <v>44</v>
      </c>
      <c r="D33" s="29" t="s">
        <v>35</v>
      </c>
      <c r="E33" s="29" t="s">
        <v>36</v>
      </c>
      <c r="F33" s="29" t="s">
        <v>37</v>
      </c>
      <c r="G33" s="41">
        <v>3</v>
      </c>
      <c r="H33" s="40" t="s">
        <v>22</v>
      </c>
      <c r="I33" s="40" t="s">
        <v>22</v>
      </c>
      <c r="J33" s="29" t="s">
        <v>27</v>
      </c>
      <c r="K33" s="28" t="s">
        <v>137</v>
      </c>
      <c r="L33" s="38">
        <v>7.7709999999999999</v>
      </c>
      <c r="M33" s="28" t="s">
        <v>137</v>
      </c>
      <c r="N33" s="38">
        <v>6.1139999999999999</v>
      </c>
      <c r="O33" s="28" t="s">
        <v>137</v>
      </c>
      <c r="P33" s="38">
        <v>2.62</v>
      </c>
      <c r="Q33" s="38">
        <v>2.7959999999999998</v>
      </c>
      <c r="R33" s="28" t="s">
        <v>137</v>
      </c>
      <c r="S33" s="38">
        <v>11.289</v>
      </c>
      <c r="T33" s="29">
        <f>COUNT(O28:O39)</f>
        <v>0</v>
      </c>
      <c r="V33" s="42"/>
      <c r="W33" s="42"/>
      <c r="X33" s="42"/>
      <c r="Y33" s="42"/>
      <c r="Z33" s="42"/>
      <c r="AA33" s="42"/>
      <c r="AB33" s="42"/>
      <c r="AC33" s="49"/>
      <c r="AD33" s="50"/>
      <c r="AE33" s="49"/>
      <c r="AF33" s="50"/>
      <c r="AG33" s="49"/>
      <c r="AH33" s="50"/>
      <c r="AI33" s="50"/>
      <c r="AJ33" s="49"/>
      <c r="AK33" s="50"/>
      <c r="AL33" s="42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1:52" x14ac:dyDescent="0.2">
      <c r="A34" s="29">
        <v>31</v>
      </c>
      <c r="B34" s="29" t="s">
        <v>43</v>
      </c>
      <c r="C34" s="29" t="s">
        <v>44</v>
      </c>
      <c r="D34" s="29" t="s">
        <v>35</v>
      </c>
      <c r="E34" s="29" t="s">
        <v>36</v>
      </c>
      <c r="F34" s="29" t="s">
        <v>37</v>
      </c>
      <c r="G34" s="36">
        <v>1</v>
      </c>
      <c r="H34" s="40" t="s">
        <v>22</v>
      </c>
      <c r="I34" s="40" t="s">
        <v>22</v>
      </c>
      <c r="J34" s="29" t="s">
        <v>39</v>
      </c>
      <c r="K34" s="28" t="s">
        <v>137</v>
      </c>
      <c r="L34" s="38">
        <v>8.0920000000000005</v>
      </c>
      <c r="M34" s="28" t="s">
        <v>137</v>
      </c>
      <c r="N34" s="38">
        <v>6.1230000000000002</v>
      </c>
      <c r="O34" s="28" t="s">
        <v>137</v>
      </c>
      <c r="P34" s="38">
        <v>2.6070000000000002</v>
      </c>
      <c r="Q34" s="38">
        <v>2.9289999999999998</v>
      </c>
      <c r="R34" s="28" t="s">
        <v>137</v>
      </c>
      <c r="S34" s="38">
        <v>11.99</v>
      </c>
      <c r="T34" s="29">
        <f>COUNT(P28:P39)</f>
        <v>11</v>
      </c>
      <c r="V34" s="42"/>
      <c r="W34" s="42"/>
      <c r="X34" s="42"/>
      <c r="Y34" s="42"/>
      <c r="Z34" s="42"/>
      <c r="AA34" s="42"/>
      <c r="AB34" s="42"/>
      <c r="AC34" s="49"/>
      <c r="AD34" s="50"/>
      <c r="AE34" s="49"/>
      <c r="AF34" s="50"/>
      <c r="AG34" s="49"/>
      <c r="AH34" s="50"/>
      <c r="AI34" s="50"/>
      <c r="AJ34" s="49"/>
      <c r="AK34" s="50"/>
      <c r="AL34" s="42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</row>
    <row r="35" spans="1:52" x14ac:dyDescent="0.2">
      <c r="A35" s="29">
        <v>32</v>
      </c>
      <c r="B35" s="29" t="s">
        <v>43</v>
      </c>
      <c r="C35" s="29" t="s">
        <v>44</v>
      </c>
      <c r="D35" s="29" t="s">
        <v>35</v>
      </c>
      <c r="E35" s="29" t="s">
        <v>36</v>
      </c>
      <c r="F35" s="29" t="s">
        <v>37</v>
      </c>
      <c r="G35" s="39">
        <v>2</v>
      </c>
      <c r="H35" s="40" t="s">
        <v>22</v>
      </c>
      <c r="I35" s="40" t="s">
        <v>22</v>
      </c>
      <c r="J35" s="29" t="s">
        <v>40</v>
      </c>
      <c r="K35" s="28" t="s">
        <v>137</v>
      </c>
      <c r="L35" s="38">
        <v>7.7729999999999997</v>
      </c>
      <c r="M35" s="28" t="s">
        <v>137</v>
      </c>
      <c r="N35" s="38">
        <v>6.1689999999999996</v>
      </c>
      <c r="O35" s="28" t="s">
        <v>137</v>
      </c>
      <c r="P35" s="38">
        <v>2.6190000000000002</v>
      </c>
      <c r="Q35" s="38">
        <v>2.8959999999999999</v>
      </c>
      <c r="R35" s="28" t="s">
        <v>137</v>
      </c>
      <c r="S35" s="38">
        <v>11.271000000000001</v>
      </c>
      <c r="T35" s="29">
        <f>COUNT(Q28:Q39)</f>
        <v>12</v>
      </c>
      <c r="V35" s="42"/>
      <c r="W35" s="42"/>
      <c r="X35" s="42"/>
      <c r="Y35" s="42"/>
      <c r="Z35" s="42"/>
      <c r="AA35" s="42"/>
      <c r="AB35" s="42"/>
      <c r="AC35" s="49"/>
      <c r="AD35" s="50"/>
      <c r="AE35" s="49"/>
      <c r="AF35" s="50"/>
      <c r="AG35" s="49"/>
      <c r="AH35" s="50"/>
      <c r="AI35" s="50"/>
      <c r="AJ35" s="49"/>
      <c r="AK35" s="50"/>
      <c r="AL35" s="42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</row>
    <row r="36" spans="1:52" x14ac:dyDescent="0.2">
      <c r="A36" s="29">
        <v>33</v>
      </c>
      <c r="B36" s="29" t="s">
        <v>43</v>
      </c>
      <c r="C36" s="29" t="s">
        <v>44</v>
      </c>
      <c r="D36" s="29" t="s">
        <v>35</v>
      </c>
      <c r="E36" s="29" t="s">
        <v>36</v>
      </c>
      <c r="F36" s="29" t="s">
        <v>37</v>
      </c>
      <c r="G36" s="41">
        <v>3</v>
      </c>
      <c r="H36" s="40" t="s">
        <v>22</v>
      </c>
      <c r="I36" s="40" t="s">
        <v>22</v>
      </c>
      <c r="J36" s="29" t="s">
        <v>47</v>
      </c>
      <c r="K36" s="28" t="s">
        <v>137</v>
      </c>
      <c r="L36" s="38">
        <v>7.7320000000000002</v>
      </c>
      <c r="M36" s="28" t="s">
        <v>137</v>
      </c>
      <c r="N36" s="38">
        <v>6.383</v>
      </c>
      <c r="O36" s="28" t="s">
        <v>137</v>
      </c>
      <c r="P36" s="38">
        <v>2.508</v>
      </c>
      <c r="Q36" s="38">
        <v>2.6030000000000002</v>
      </c>
      <c r="R36" s="28" t="s">
        <v>137</v>
      </c>
      <c r="S36" s="38">
        <v>10.977</v>
      </c>
      <c r="T36" s="29">
        <f>COUNT(R28:R39)</f>
        <v>0</v>
      </c>
      <c r="V36" s="42"/>
      <c r="W36" s="42"/>
      <c r="X36" s="42"/>
      <c r="Y36" s="42"/>
      <c r="Z36" s="42"/>
      <c r="AA36" s="42"/>
      <c r="AB36" s="42"/>
      <c r="AC36" s="49"/>
      <c r="AD36" s="50"/>
      <c r="AE36" s="49"/>
      <c r="AF36" s="50"/>
      <c r="AG36" s="49"/>
      <c r="AH36" s="50"/>
      <c r="AI36" s="50"/>
      <c r="AJ36" s="49"/>
      <c r="AK36" s="50"/>
      <c r="AL36" s="42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</row>
    <row r="37" spans="1:52" x14ac:dyDescent="0.2">
      <c r="A37" s="29">
        <v>34</v>
      </c>
      <c r="B37" s="29" t="s">
        <v>43</v>
      </c>
      <c r="C37" s="29" t="s">
        <v>44</v>
      </c>
      <c r="D37" s="29" t="s">
        <v>35</v>
      </c>
      <c r="E37" s="29" t="s">
        <v>36</v>
      </c>
      <c r="F37" s="29" t="s">
        <v>37</v>
      </c>
      <c r="G37" s="36">
        <v>1</v>
      </c>
      <c r="H37" s="40" t="s">
        <v>22</v>
      </c>
      <c r="I37" s="40" t="s">
        <v>22</v>
      </c>
      <c r="J37" s="29" t="s">
        <v>41</v>
      </c>
      <c r="K37" s="28" t="s">
        <v>137</v>
      </c>
      <c r="L37" s="38">
        <v>7.9359999999999999</v>
      </c>
      <c r="M37" s="28" t="s">
        <v>137</v>
      </c>
      <c r="N37" s="38">
        <v>6.0190000000000001</v>
      </c>
      <c r="O37" s="28" t="s">
        <v>137</v>
      </c>
      <c r="P37" s="38">
        <v>2.347</v>
      </c>
      <c r="Q37" s="38">
        <v>2.7749999999999999</v>
      </c>
      <c r="R37" s="28" t="s">
        <v>137</v>
      </c>
      <c r="S37" s="38">
        <v>11.234999999999999</v>
      </c>
      <c r="T37" s="29">
        <f>COUNT(S28:S39)</f>
        <v>12</v>
      </c>
      <c r="V37" s="42"/>
      <c r="W37" s="42"/>
      <c r="X37" s="42"/>
      <c r="Y37" s="42"/>
      <c r="Z37" s="42"/>
      <c r="AA37" s="42"/>
      <c r="AB37" s="42"/>
      <c r="AC37" s="49"/>
      <c r="AD37" s="50"/>
      <c r="AE37" s="49"/>
      <c r="AF37" s="50"/>
      <c r="AG37" s="49"/>
      <c r="AH37" s="50"/>
      <c r="AI37" s="50"/>
      <c r="AJ37" s="49"/>
      <c r="AK37" s="50"/>
      <c r="AL37" s="42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</row>
    <row r="38" spans="1:52" x14ac:dyDescent="0.2">
      <c r="A38" s="29">
        <v>35</v>
      </c>
      <c r="B38" s="29" t="s">
        <v>43</v>
      </c>
      <c r="C38" s="29" t="s">
        <v>44</v>
      </c>
      <c r="D38" s="29" t="s">
        <v>35</v>
      </c>
      <c r="E38" s="29" t="s">
        <v>36</v>
      </c>
      <c r="F38" s="29" t="s">
        <v>37</v>
      </c>
      <c r="G38" s="39">
        <v>2</v>
      </c>
      <c r="H38" s="40" t="s">
        <v>22</v>
      </c>
      <c r="I38" s="40" t="s">
        <v>22</v>
      </c>
      <c r="J38" s="29" t="s">
        <v>28</v>
      </c>
      <c r="K38" s="28" t="s">
        <v>137</v>
      </c>
      <c r="L38" s="38">
        <v>7.9039999999999999</v>
      </c>
      <c r="M38" s="28" t="s">
        <v>137</v>
      </c>
      <c r="N38" s="38">
        <v>5.9790000000000001</v>
      </c>
      <c r="O38" s="28" t="s">
        <v>137</v>
      </c>
      <c r="P38" s="38" t="s">
        <v>137</v>
      </c>
      <c r="Q38" s="38">
        <v>2.653</v>
      </c>
      <c r="R38" s="28" t="s">
        <v>137</v>
      </c>
      <c r="S38" s="38">
        <v>11.361000000000001</v>
      </c>
      <c r="T38" s="29">
        <f>T28-SUM(T29:T37)</f>
        <v>0</v>
      </c>
      <c r="V38" s="42"/>
      <c r="W38" s="42"/>
      <c r="X38" s="42"/>
      <c r="Y38" s="42"/>
      <c r="Z38" s="42"/>
      <c r="AA38" s="42"/>
      <c r="AB38" s="42"/>
      <c r="AC38" s="49"/>
      <c r="AD38" s="50"/>
      <c r="AE38" s="49"/>
      <c r="AF38" s="50"/>
      <c r="AG38" s="49"/>
      <c r="AH38" s="49"/>
      <c r="AI38" s="50"/>
      <c r="AJ38" s="49"/>
      <c r="AK38" s="50"/>
      <c r="AL38" s="42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</row>
    <row r="39" spans="1:52" x14ac:dyDescent="0.2">
      <c r="A39" s="29">
        <v>36</v>
      </c>
      <c r="B39" s="29" t="s">
        <v>43</v>
      </c>
      <c r="C39" s="29" t="s">
        <v>44</v>
      </c>
      <c r="D39" s="29" t="s">
        <v>35</v>
      </c>
      <c r="E39" s="29" t="s">
        <v>36</v>
      </c>
      <c r="F39" s="29" t="s">
        <v>37</v>
      </c>
      <c r="G39" s="41">
        <v>3</v>
      </c>
      <c r="H39" s="40" t="s">
        <v>22</v>
      </c>
      <c r="I39" s="40" t="s">
        <v>22</v>
      </c>
      <c r="J39" s="29" t="s">
        <v>29</v>
      </c>
      <c r="K39" s="28" t="s">
        <v>137</v>
      </c>
      <c r="L39" s="38">
        <v>7.617</v>
      </c>
      <c r="M39" s="28" t="s">
        <v>137</v>
      </c>
      <c r="N39" s="38">
        <v>6.1559999999999997</v>
      </c>
      <c r="O39" s="28" t="s">
        <v>137</v>
      </c>
      <c r="P39" s="38">
        <v>2.528</v>
      </c>
      <c r="Q39" s="38">
        <v>2.71</v>
      </c>
      <c r="R39" s="28" t="s">
        <v>137</v>
      </c>
      <c r="S39" s="38">
        <v>11.173999999999999</v>
      </c>
      <c r="T39" s="29">
        <v>9999</v>
      </c>
      <c r="V39" s="42"/>
      <c r="W39" s="42"/>
      <c r="X39" s="42"/>
      <c r="Y39" s="42"/>
      <c r="Z39" s="42"/>
      <c r="AA39" s="42"/>
      <c r="AB39" s="42"/>
      <c r="AC39" s="49"/>
      <c r="AD39" s="50"/>
      <c r="AE39" s="49"/>
      <c r="AF39" s="50"/>
      <c r="AG39" s="49"/>
      <c r="AH39" s="50"/>
      <c r="AI39" s="50"/>
      <c r="AJ39" s="49"/>
      <c r="AK39" s="50"/>
      <c r="AL39" s="42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s="26" customForma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47"/>
      <c r="L40" s="48"/>
      <c r="M40" s="47"/>
      <c r="N40" s="48"/>
      <c r="O40" s="47"/>
      <c r="P40" s="48"/>
      <c r="Q40" s="48"/>
      <c r="R40" s="47"/>
      <c r="S40" s="48"/>
      <c r="T40" s="21"/>
      <c r="U40" s="25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spans="1:52" x14ac:dyDescent="0.2">
      <c r="A41" s="29">
        <v>37</v>
      </c>
      <c r="B41" s="29" t="s">
        <v>52</v>
      </c>
      <c r="C41" s="29" t="s">
        <v>53</v>
      </c>
      <c r="D41" s="29" t="s">
        <v>35</v>
      </c>
      <c r="E41" s="29" t="s">
        <v>36</v>
      </c>
      <c r="F41" s="29" t="s">
        <v>37</v>
      </c>
      <c r="G41" s="36">
        <v>1</v>
      </c>
      <c r="H41" s="40" t="s">
        <v>22</v>
      </c>
      <c r="I41" s="40" t="s">
        <v>22</v>
      </c>
      <c r="J41" s="29" t="s">
        <v>24</v>
      </c>
      <c r="K41" s="28" t="s">
        <v>137</v>
      </c>
      <c r="L41" s="38">
        <v>7.9889999999999999</v>
      </c>
      <c r="M41" s="28" t="s">
        <v>137</v>
      </c>
      <c r="N41" s="38">
        <v>6.01</v>
      </c>
      <c r="O41" s="28" t="s">
        <v>137</v>
      </c>
      <c r="P41" s="38">
        <v>2.7309999999999999</v>
      </c>
      <c r="Q41" s="38">
        <v>2.9340000000000002</v>
      </c>
      <c r="R41" s="28" t="s">
        <v>137</v>
      </c>
      <c r="S41" s="38">
        <v>11.701000000000001</v>
      </c>
      <c r="T41" s="29">
        <f>COUNT(K41:S52)</f>
        <v>60</v>
      </c>
      <c r="V41" s="42"/>
      <c r="W41" s="42"/>
      <c r="X41" s="42"/>
      <c r="Y41" s="42"/>
      <c r="Z41" s="42"/>
      <c r="AA41" s="42"/>
      <c r="AB41" s="42"/>
      <c r="AC41" s="49"/>
      <c r="AD41" s="50"/>
      <c r="AE41" s="49"/>
      <c r="AF41" s="50"/>
      <c r="AG41" s="49"/>
      <c r="AH41" s="50"/>
      <c r="AI41" s="50"/>
      <c r="AJ41" s="49"/>
      <c r="AK41" s="50"/>
      <c r="AL41" s="42"/>
      <c r="AN41" s="46"/>
    </row>
    <row r="42" spans="1:52" x14ac:dyDescent="0.2">
      <c r="A42" s="29">
        <v>38</v>
      </c>
      <c r="B42" s="29" t="s">
        <v>52</v>
      </c>
      <c r="C42" s="29" t="s">
        <v>53</v>
      </c>
      <c r="D42" s="29" t="s">
        <v>35</v>
      </c>
      <c r="E42" s="29" t="s">
        <v>36</v>
      </c>
      <c r="F42" s="29" t="s">
        <v>37</v>
      </c>
      <c r="G42" s="39">
        <v>2</v>
      </c>
      <c r="H42" s="40" t="s">
        <v>22</v>
      </c>
      <c r="I42" s="40" t="s">
        <v>22</v>
      </c>
      <c r="J42" s="29" t="s">
        <v>45</v>
      </c>
      <c r="K42" s="28" t="s">
        <v>137</v>
      </c>
      <c r="L42" s="38">
        <v>7.6</v>
      </c>
      <c r="M42" s="28" t="s">
        <v>137</v>
      </c>
      <c r="N42" s="38">
        <v>6.1260000000000003</v>
      </c>
      <c r="O42" s="28" t="s">
        <v>137</v>
      </c>
      <c r="P42" s="38">
        <v>2.5390000000000001</v>
      </c>
      <c r="Q42" s="38">
        <v>2.8730000000000002</v>
      </c>
      <c r="R42" s="28" t="s">
        <v>137</v>
      </c>
      <c r="S42" s="38">
        <v>11.382</v>
      </c>
      <c r="T42" s="29">
        <f>COUNT(K41:K52)</f>
        <v>0</v>
      </c>
      <c r="V42" s="42"/>
      <c r="W42" s="42"/>
      <c r="X42" s="42"/>
      <c r="Y42" s="42"/>
      <c r="Z42" s="42"/>
      <c r="AA42" s="42"/>
      <c r="AB42" s="42"/>
      <c r="AC42" s="49"/>
      <c r="AD42" s="50"/>
      <c r="AE42" s="49"/>
      <c r="AF42" s="50"/>
      <c r="AG42" s="49"/>
      <c r="AH42" s="50"/>
      <c r="AI42" s="50"/>
      <c r="AJ42" s="49"/>
      <c r="AK42" s="50"/>
      <c r="AL42" s="42"/>
      <c r="AN42" s="46"/>
    </row>
    <row r="43" spans="1:52" x14ac:dyDescent="0.2">
      <c r="A43" s="29">
        <v>39</v>
      </c>
      <c r="B43" s="29" t="s">
        <v>52</v>
      </c>
      <c r="C43" s="29" t="s">
        <v>53</v>
      </c>
      <c r="D43" s="29" t="s">
        <v>35</v>
      </c>
      <c r="E43" s="29" t="s">
        <v>36</v>
      </c>
      <c r="F43" s="29" t="s">
        <v>37</v>
      </c>
      <c r="G43" s="41">
        <v>3</v>
      </c>
      <c r="H43" s="40" t="s">
        <v>22</v>
      </c>
      <c r="I43" s="40" t="s">
        <v>22</v>
      </c>
      <c r="J43" s="29" t="s">
        <v>46</v>
      </c>
      <c r="K43" s="28" t="s">
        <v>137</v>
      </c>
      <c r="L43" s="38">
        <v>7.72</v>
      </c>
      <c r="M43" s="28" t="s">
        <v>137</v>
      </c>
      <c r="N43" s="38">
        <v>6.4180000000000001</v>
      </c>
      <c r="O43" s="28" t="s">
        <v>137</v>
      </c>
      <c r="P43" s="38">
        <v>2.5750000000000002</v>
      </c>
      <c r="Q43" s="38">
        <v>2.6989999999999998</v>
      </c>
      <c r="R43" s="28" t="s">
        <v>137</v>
      </c>
      <c r="S43" s="38">
        <v>11.185</v>
      </c>
      <c r="T43" s="29">
        <f>COUNT(L41:L52)</f>
        <v>12</v>
      </c>
      <c r="V43" s="42"/>
      <c r="W43" s="42"/>
      <c r="X43" s="42"/>
      <c r="Y43" s="42"/>
      <c r="Z43" s="42"/>
      <c r="AA43" s="42"/>
      <c r="AB43" s="42"/>
      <c r="AC43" s="49"/>
      <c r="AD43" s="50"/>
      <c r="AE43" s="49"/>
      <c r="AF43" s="50"/>
      <c r="AG43" s="49"/>
      <c r="AH43" s="50"/>
      <c r="AI43" s="50"/>
      <c r="AJ43" s="49"/>
      <c r="AK43" s="50"/>
      <c r="AL43" s="42"/>
      <c r="AN43" s="46"/>
    </row>
    <row r="44" spans="1:52" x14ac:dyDescent="0.2">
      <c r="A44" s="29">
        <v>40</v>
      </c>
      <c r="B44" s="29" t="s">
        <v>52</v>
      </c>
      <c r="C44" s="29" t="s">
        <v>53</v>
      </c>
      <c r="D44" s="29" t="s">
        <v>35</v>
      </c>
      <c r="E44" s="29" t="s">
        <v>36</v>
      </c>
      <c r="F44" s="29" t="s">
        <v>37</v>
      </c>
      <c r="G44" s="36">
        <v>1</v>
      </c>
      <c r="H44" s="40" t="s">
        <v>22</v>
      </c>
      <c r="I44" s="40" t="s">
        <v>22</v>
      </c>
      <c r="J44" s="29" t="s">
        <v>25</v>
      </c>
      <c r="K44" s="28" t="s">
        <v>137</v>
      </c>
      <c r="L44" s="38">
        <v>7.9960000000000004</v>
      </c>
      <c r="M44" s="28" t="s">
        <v>137</v>
      </c>
      <c r="N44" s="38">
        <v>6.1459999999999999</v>
      </c>
      <c r="O44" s="28" t="s">
        <v>137</v>
      </c>
      <c r="P44" s="38">
        <v>2.4489999999999998</v>
      </c>
      <c r="Q44" s="38">
        <v>2.9380000000000002</v>
      </c>
      <c r="R44" s="28" t="s">
        <v>137</v>
      </c>
      <c r="S44" s="38">
        <v>11.794</v>
      </c>
      <c r="T44" s="29">
        <f>COUNT(M41:M52)</f>
        <v>0</v>
      </c>
      <c r="V44" s="42"/>
      <c r="W44" s="42"/>
      <c r="X44" s="42"/>
      <c r="Y44" s="42"/>
      <c r="Z44" s="42"/>
      <c r="AA44" s="42"/>
      <c r="AB44" s="42"/>
      <c r="AC44" s="49"/>
      <c r="AD44" s="50"/>
      <c r="AE44" s="49"/>
      <c r="AF44" s="50"/>
      <c r="AG44" s="49"/>
      <c r="AH44" s="50"/>
      <c r="AI44" s="50"/>
      <c r="AJ44" s="49"/>
      <c r="AK44" s="50"/>
      <c r="AL44" s="42"/>
      <c r="AN44" s="46"/>
    </row>
    <row r="45" spans="1:52" x14ac:dyDescent="0.2">
      <c r="A45" s="29">
        <v>41</v>
      </c>
      <c r="B45" s="29" t="s">
        <v>52</v>
      </c>
      <c r="C45" s="29" t="s">
        <v>53</v>
      </c>
      <c r="D45" s="29" t="s">
        <v>35</v>
      </c>
      <c r="E45" s="29" t="s">
        <v>36</v>
      </c>
      <c r="F45" s="29" t="s">
        <v>37</v>
      </c>
      <c r="G45" s="39">
        <v>2</v>
      </c>
      <c r="H45" s="40" t="s">
        <v>22</v>
      </c>
      <c r="I45" s="40" t="s">
        <v>22</v>
      </c>
      <c r="J45" s="29" t="s">
        <v>26</v>
      </c>
      <c r="K45" s="28" t="s">
        <v>137</v>
      </c>
      <c r="L45" s="38">
        <v>7.9509999999999996</v>
      </c>
      <c r="M45" s="28" t="s">
        <v>137</v>
      </c>
      <c r="N45" s="38">
        <v>6.2</v>
      </c>
      <c r="O45" s="28" t="s">
        <v>137</v>
      </c>
      <c r="P45" s="38">
        <v>2.661</v>
      </c>
      <c r="Q45" s="38">
        <v>2.9289999999999998</v>
      </c>
      <c r="R45" s="28" t="s">
        <v>137</v>
      </c>
      <c r="S45" s="38">
        <v>11.492000000000001</v>
      </c>
      <c r="T45" s="29">
        <f>COUNT(N41:N52)</f>
        <v>12</v>
      </c>
      <c r="V45" s="42"/>
      <c r="W45" s="42"/>
      <c r="X45" s="42"/>
      <c r="Y45" s="42"/>
      <c r="Z45" s="42"/>
      <c r="AA45" s="42"/>
      <c r="AB45" s="42"/>
      <c r="AC45" s="49"/>
      <c r="AD45" s="50"/>
      <c r="AE45" s="49"/>
      <c r="AF45" s="50"/>
      <c r="AG45" s="49"/>
      <c r="AH45" s="50"/>
      <c r="AI45" s="50"/>
      <c r="AJ45" s="49"/>
      <c r="AK45" s="50"/>
      <c r="AL45" s="42"/>
      <c r="AN45" s="46"/>
    </row>
    <row r="46" spans="1:52" x14ac:dyDescent="0.2">
      <c r="A46" s="29">
        <v>42</v>
      </c>
      <c r="B46" s="29" t="s">
        <v>52</v>
      </c>
      <c r="C46" s="29" t="s">
        <v>53</v>
      </c>
      <c r="D46" s="29" t="s">
        <v>35</v>
      </c>
      <c r="E46" s="29" t="s">
        <v>36</v>
      </c>
      <c r="F46" s="29" t="s">
        <v>37</v>
      </c>
      <c r="G46" s="41">
        <v>3</v>
      </c>
      <c r="H46" s="40" t="s">
        <v>22</v>
      </c>
      <c r="I46" s="40" t="s">
        <v>22</v>
      </c>
      <c r="J46" s="29" t="s">
        <v>27</v>
      </c>
      <c r="K46" s="28" t="s">
        <v>137</v>
      </c>
      <c r="L46" s="38">
        <v>7.8289999999999997</v>
      </c>
      <c r="M46" s="28" t="s">
        <v>137</v>
      </c>
      <c r="N46" s="38">
        <v>6.4619999999999997</v>
      </c>
      <c r="O46" s="28" t="s">
        <v>137</v>
      </c>
      <c r="P46" s="38">
        <v>2.57</v>
      </c>
      <c r="Q46" s="38">
        <v>2.6930000000000001</v>
      </c>
      <c r="R46" s="28" t="s">
        <v>137</v>
      </c>
      <c r="S46" s="38">
        <v>11.404</v>
      </c>
      <c r="T46" s="29">
        <f>COUNT(O41:O52)</f>
        <v>0</v>
      </c>
      <c r="V46" s="42"/>
      <c r="W46" s="42"/>
      <c r="X46" s="42"/>
      <c r="Y46" s="42"/>
      <c r="Z46" s="42"/>
      <c r="AA46" s="42"/>
      <c r="AB46" s="42"/>
      <c r="AC46" s="49"/>
      <c r="AD46" s="50"/>
      <c r="AE46" s="49"/>
      <c r="AF46" s="50"/>
      <c r="AG46" s="49"/>
      <c r="AH46" s="50"/>
      <c r="AI46" s="50"/>
      <c r="AJ46" s="49"/>
      <c r="AK46" s="50"/>
      <c r="AL46" s="42"/>
      <c r="AN46" s="46"/>
    </row>
    <row r="47" spans="1:52" x14ac:dyDescent="0.2">
      <c r="A47" s="29">
        <v>43</v>
      </c>
      <c r="B47" s="29" t="s">
        <v>52</v>
      </c>
      <c r="C47" s="29" t="s">
        <v>53</v>
      </c>
      <c r="D47" s="29" t="s">
        <v>35</v>
      </c>
      <c r="E47" s="29" t="s">
        <v>36</v>
      </c>
      <c r="F47" s="29" t="s">
        <v>37</v>
      </c>
      <c r="G47" s="36">
        <v>1</v>
      </c>
      <c r="H47" s="40" t="s">
        <v>22</v>
      </c>
      <c r="I47" s="40" t="s">
        <v>22</v>
      </c>
      <c r="J47" s="29" t="s">
        <v>38</v>
      </c>
      <c r="K47" s="28" t="s">
        <v>137</v>
      </c>
      <c r="L47" s="38">
        <v>8.0489999999999995</v>
      </c>
      <c r="M47" s="28" t="s">
        <v>137</v>
      </c>
      <c r="N47" s="38">
        <v>6.173</v>
      </c>
      <c r="O47" s="28" t="s">
        <v>137</v>
      </c>
      <c r="P47" s="38">
        <v>2.5299999999999998</v>
      </c>
      <c r="Q47" s="38">
        <v>2.9710000000000001</v>
      </c>
      <c r="R47" s="28" t="s">
        <v>137</v>
      </c>
      <c r="S47" s="38">
        <v>11.959</v>
      </c>
      <c r="T47" s="29">
        <f>COUNT(P41:P52)</f>
        <v>12</v>
      </c>
      <c r="V47" s="42"/>
      <c r="W47" s="42"/>
      <c r="X47" s="42"/>
      <c r="Y47" s="42"/>
      <c r="Z47" s="42"/>
      <c r="AA47" s="42"/>
      <c r="AB47" s="42"/>
      <c r="AC47" s="49"/>
      <c r="AD47" s="50"/>
      <c r="AE47" s="49"/>
      <c r="AF47" s="50"/>
      <c r="AG47" s="49"/>
      <c r="AH47" s="50"/>
      <c r="AI47" s="50"/>
      <c r="AJ47" s="49"/>
      <c r="AK47" s="50"/>
      <c r="AL47" s="42"/>
      <c r="AN47" s="46"/>
    </row>
    <row r="48" spans="1:52" x14ac:dyDescent="0.2">
      <c r="A48" s="29">
        <v>44</v>
      </c>
      <c r="B48" s="29" t="s">
        <v>52</v>
      </c>
      <c r="C48" s="29" t="s">
        <v>53</v>
      </c>
      <c r="D48" s="29" t="s">
        <v>35</v>
      </c>
      <c r="E48" s="29" t="s">
        <v>36</v>
      </c>
      <c r="F48" s="29" t="s">
        <v>37</v>
      </c>
      <c r="G48" s="39">
        <v>2</v>
      </c>
      <c r="H48" s="40" t="s">
        <v>22</v>
      </c>
      <c r="I48" s="40" t="s">
        <v>22</v>
      </c>
      <c r="J48" s="29" t="s">
        <v>39</v>
      </c>
      <c r="K48" s="28" t="s">
        <v>137</v>
      </c>
      <c r="L48" s="38">
        <v>7.9509999999999996</v>
      </c>
      <c r="M48" s="28" t="s">
        <v>137</v>
      </c>
      <c r="N48" s="38">
        <v>6.194</v>
      </c>
      <c r="O48" s="28" t="s">
        <v>137</v>
      </c>
      <c r="P48" s="38">
        <v>2.6619999999999999</v>
      </c>
      <c r="Q48" s="38">
        <v>2.9180000000000001</v>
      </c>
      <c r="R48" s="28" t="s">
        <v>137</v>
      </c>
      <c r="S48" s="38">
        <v>11.340999999999999</v>
      </c>
      <c r="T48" s="29">
        <f>COUNT(Q41:Q52)</f>
        <v>12</v>
      </c>
      <c r="V48" s="42"/>
      <c r="W48" s="42"/>
      <c r="X48" s="42"/>
      <c r="Y48" s="42"/>
      <c r="Z48" s="42"/>
      <c r="AA48" s="42"/>
      <c r="AB48" s="42"/>
      <c r="AC48" s="49"/>
      <c r="AD48" s="50"/>
      <c r="AE48" s="49"/>
      <c r="AF48" s="50"/>
      <c r="AG48" s="49"/>
      <c r="AH48" s="50"/>
      <c r="AI48" s="50"/>
      <c r="AJ48" s="49"/>
      <c r="AK48" s="50"/>
      <c r="AL48" s="42"/>
      <c r="AN48" s="46"/>
    </row>
    <row r="49" spans="1:40" x14ac:dyDescent="0.2">
      <c r="A49" s="29">
        <v>45</v>
      </c>
      <c r="B49" s="29" t="s">
        <v>52</v>
      </c>
      <c r="C49" s="29" t="s">
        <v>53</v>
      </c>
      <c r="D49" s="29" t="s">
        <v>35</v>
      </c>
      <c r="E49" s="29" t="s">
        <v>36</v>
      </c>
      <c r="F49" s="29" t="s">
        <v>37</v>
      </c>
      <c r="G49" s="41">
        <v>3</v>
      </c>
      <c r="H49" s="40" t="s">
        <v>22</v>
      </c>
      <c r="I49" s="40" t="s">
        <v>22</v>
      </c>
      <c r="J49" s="29" t="s">
        <v>40</v>
      </c>
      <c r="K49" s="28" t="s">
        <v>137</v>
      </c>
      <c r="L49" s="38">
        <v>7.7960000000000003</v>
      </c>
      <c r="M49" s="28" t="s">
        <v>137</v>
      </c>
      <c r="N49" s="38">
        <v>6.4509999999999996</v>
      </c>
      <c r="O49" s="28" t="s">
        <v>137</v>
      </c>
      <c r="P49" s="38">
        <v>2.5750000000000002</v>
      </c>
      <c r="Q49" s="38">
        <v>2.68</v>
      </c>
      <c r="R49" s="28" t="s">
        <v>137</v>
      </c>
      <c r="S49" s="38">
        <v>11.215</v>
      </c>
      <c r="T49" s="29">
        <f>COUNT(R41:R52)</f>
        <v>0</v>
      </c>
      <c r="V49" s="42"/>
      <c r="W49" s="42"/>
      <c r="X49" s="42"/>
      <c r="Y49" s="42"/>
      <c r="Z49" s="42"/>
      <c r="AA49" s="42"/>
      <c r="AB49" s="42"/>
      <c r="AC49" s="49"/>
      <c r="AD49" s="50"/>
      <c r="AE49" s="49"/>
      <c r="AF49" s="50"/>
      <c r="AG49" s="49"/>
      <c r="AH49" s="50"/>
      <c r="AI49" s="50"/>
      <c r="AJ49" s="49"/>
      <c r="AK49" s="50"/>
      <c r="AL49" s="42"/>
      <c r="AN49" s="46"/>
    </row>
    <row r="50" spans="1:40" x14ac:dyDescent="0.2">
      <c r="A50" s="29">
        <v>46</v>
      </c>
      <c r="B50" s="29" t="s">
        <v>52</v>
      </c>
      <c r="C50" s="29" t="s">
        <v>53</v>
      </c>
      <c r="D50" s="29" t="s">
        <v>35</v>
      </c>
      <c r="E50" s="29" t="s">
        <v>36</v>
      </c>
      <c r="F50" s="29" t="s">
        <v>37</v>
      </c>
      <c r="G50" s="36">
        <v>1</v>
      </c>
      <c r="H50" s="40" t="s">
        <v>22</v>
      </c>
      <c r="I50" s="40" t="s">
        <v>22</v>
      </c>
      <c r="J50" s="29" t="s">
        <v>51</v>
      </c>
      <c r="K50" s="28" t="s">
        <v>137</v>
      </c>
      <c r="L50" s="38">
        <v>7.9450000000000003</v>
      </c>
      <c r="M50" s="28" t="s">
        <v>137</v>
      </c>
      <c r="N50" s="38">
        <v>6.0289999999999999</v>
      </c>
      <c r="O50" s="28" t="s">
        <v>137</v>
      </c>
      <c r="P50" s="38">
        <v>2.367</v>
      </c>
      <c r="Q50" s="38">
        <v>2.7879999999999998</v>
      </c>
      <c r="R50" s="28" t="s">
        <v>137</v>
      </c>
      <c r="S50" s="38">
        <v>11.294</v>
      </c>
      <c r="T50" s="29">
        <f>COUNT(S41:S52)</f>
        <v>12</v>
      </c>
      <c r="V50" s="42"/>
      <c r="W50" s="42"/>
      <c r="X50" s="42"/>
      <c r="Y50" s="42"/>
      <c r="Z50" s="42"/>
      <c r="AA50" s="42"/>
      <c r="AB50" s="42"/>
      <c r="AC50" s="49"/>
      <c r="AD50" s="50"/>
      <c r="AE50" s="49"/>
      <c r="AF50" s="50"/>
      <c r="AG50" s="49"/>
      <c r="AH50" s="50"/>
      <c r="AI50" s="50"/>
      <c r="AJ50" s="49"/>
      <c r="AK50" s="50"/>
      <c r="AL50" s="42"/>
      <c r="AN50" s="46"/>
    </row>
    <row r="51" spans="1:40" x14ac:dyDescent="0.2">
      <c r="A51" s="29">
        <v>47</v>
      </c>
      <c r="B51" s="29" t="s">
        <v>52</v>
      </c>
      <c r="C51" s="29" t="s">
        <v>53</v>
      </c>
      <c r="D51" s="29" t="s">
        <v>35</v>
      </c>
      <c r="E51" s="29" t="s">
        <v>36</v>
      </c>
      <c r="F51" s="29" t="s">
        <v>37</v>
      </c>
      <c r="G51" s="39">
        <v>2</v>
      </c>
      <c r="H51" s="40" t="s">
        <v>22</v>
      </c>
      <c r="I51" s="40" t="s">
        <v>22</v>
      </c>
      <c r="J51" s="29" t="s">
        <v>41</v>
      </c>
      <c r="K51" s="28" t="s">
        <v>137</v>
      </c>
      <c r="L51" s="38">
        <v>7.9269999999999996</v>
      </c>
      <c r="M51" s="28" t="s">
        <v>137</v>
      </c>
      <c r="N51" s="38">
        <v>5.9580000000000002</v>
      </c>
      <c r="O51" s="28" t="s">
        <v>137</v>
      </c>
      <c r="P51" s="38">
        <v>2.641</v>
      </c>
      <c r="Q51" s="38">
        <v>2.7130000000000001</v>
      </c>
      <c r="R51" s="28" t="s">
        <v>137</v>
      </c>
      <c r="S51" s="38">
        <v>11.302</v>
      </c>
      <c r="T51" s="29">
        <f>T41-SUM(T42:T50)</f>
        <v>0</v>
      </c>
      <c r="V51" s="42"/>
      <c r="W51" s="42"/>
      <c r="X51" s="42"/>
      <c r="Y51" s="42"/>
      <c r="Z51" s="42"/>
      <c r="AA51" s="42"/>
      <c r="AB51" s="42"/>
      <c r="AC51" s="49"/>
      <c r="AD51" s="50"/>
      <c r="AE51" s="49"/>
      <c r="AF51" s="50"/>
      <c r="AG51" s="49"/>
      <c r="AH51" s="50"/>
      <c r="AI51" s="50"/>
      <c r="AJ51" s="49"/>
      <c r="AK51" s="50"/>
      <c r="AL51" s="42"/>
      <c r="AN51" s="46"/>
    </row>
    <row r="52" spans="1:40" x14ac:dyDescent="0.2">
      <c r="A52" s="29">
        <v>48</v>
      </c>
      <c r="B52" s="29" t="s">
        <v>52</v>
      </c>
      <c r="C52" s="29" t="s">
        <v>53</v>
      </c>
      <c r="D52" s="29" t="s">
        <v>35</v>
      </c>
      <c r="E52" s="29" t="s">
        <v>36</v>
      </c>
      <c r="F52" s="29" t="s">
        <v>37</v>
      </c>
      <c r="G52" s="41">
        <v>3</v>
      </c>
      <c r="H52" s="40" t="s">
        <v>22</v>
      </c>
      <c r="I52" s="40" t="s">
        <v>22</v>
      </c>
      <c r="J52" s="29" t="s">
        <v>28</v>
      </c>
      <c r="K52" s="28" t="s">
        <v>137</v>
      </c>
      <c r="L52" s="38">
        <v>7.452</v>
      </c>
      <c r="M52" s="28" t="s">
        <v>137</v>
      </c>
      <c r="N52" s="38">
        <v>5.8769999999999998</v>
      </c>
      <c r="O52" s="28" t="s">
        <v>137</v>
      </c>
      <c r="P52" s="38">
        <v>2.3239999999999998</v>
      </c>
      <c r="Q52" s="38">
        <v>2.641</v>
      </c>
      <c r="R52" s="28" t="s">
        <v>137</v>
      </c>
      <c r="S52" s="38">
        <v>10.816000000000001</v>
      </c>
      <c r="T52" s="29">
        <v>9999</v>
      </c>
      <c r="V52" s="42"/>
      <c r="W52" s="42"/>
      <c r="X52" s="42"/>
      <c r="Y52" s="42"/>
      <c r="Z52" s="42"/>
      <c r="AA52" s="42"/>
      <c r="AB52" s="42"/>
      <c r="AC52" s="49"/>
      <c r="AD52" s="50"/>
      <c r="AE52" s="49"/>
      <c r="AF52" s="50"/>
      <c r="AG52" s="49"/>
      <c r="AH52" s="50"/>
      <c r="AI52" s="50"/>
      <c r="AJ52" s="49"/>
      <c r="AK52" s="50"/>
      <c r="AL52" s="42"/>
      <c r="AN52" s="46"/>
    </row>
    <row r="53" spans="1:40" s="26" customForma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47"/>
      <c r="L53" s="48"/>
      <c r="M53" s="47"/>
      <c r="N53" s="48"/>
      <c r="O53" s="47"/>
      <c r="P53" s="48"/>
      <c r="Q53" s="48"/>
      <c r="R53" s="47"/>
      <c r="S53" s="48"/>
      <c r="T53" s="21"/>
      <c r="U53" s="25"/>
    </row>
    <row r="54" spans="1:40" x14ac:dyDescent="0.2">
      <c r="A54" s="29">
        <v>49</v>
      </c>
      <c r="B54" s="29" t="s">
        <v>66</v>
      </c>
      <c r="C54" s="29" t="s">
        <v>67</v>
      </c>
      <c r="D54" s="29" t="s">
        <v>35</v>
      </c>
      <c r="E54" s="29" t="s">
        <v>36</v>
      </c>
      <c r="F54" s="29" t="s">
        <v>37</v>
      </c>
      <c r="G54" s="36">
        <v>1</v>
      </c>
      <c r="H54" s="40" t="s">
        <v>22</v>
      </c>
      <c r="I54" s="40" t="s">
        <v>22</v>
      </c>
      <c r="J54" s="29" t="s">
        <v>24</v>
      </c>
      <c r="K54" s="28" t="s">
        <v>137</v>
      </c>
      <c r="L54" s="38">
        <v>8.0960000000000001</v>
      </c>
      <c r="M54" s="28" t="s">
        <v>137</v>
      </c>
      <c r="N54" s="38">
        <v>6.2629999999999999</v>
      </c>
      <c r="O54" s="28" t="s">
        <v>137</v>
      </c>
      <c r="P54" s="38">
        <v>3.1389999999999998</v>
      </c>
      <c r="Q54" s="38">
        <v>3.6850000000000001</v>
      </c>
      <c r="R54" s="28" t="s">
        <v>137</v>
      </c>
      <c r="S54" s="38">
        <v>11.984</v>
      </c>
      <c r="T54" s="29">
        <f>COUNT(K54:S65)</f>
        <v>60</v>
      </c>
    </row>
    <row r="55" spans="1:40" x14ac:dyDescent="0.2">
      <c r="A55" s="29">
        <v>50</v>
      </c>
      <c r="B55" s="29" t="s">
        <v>66</v>
      </c>
      <c r="C55" s="29" t="s">
        <v>67</v>
      </c>
      <c r="D55" s="29" t="s">
        <v>35</v>
      </c>
      <c r="E55" s="29" t="s">
        <v>36</v>
      </c>
      <c r="F55" s="29" t="s">
        <v>37</v>
      </c>
      <c r="G55" s="39">
        <v>2</v>
      </c>
      <c r="H55" s="40" t="s">
        <v>22</v>
      </c>
      <c r="I55" s="40" t="s">
        <v>22</v>
      </c>
      <c r="J55" s="29" t="s">
        <v>46</v>
      </c>
      <c r="K55" s="28" t="s">
        <v>137</v>
      </c>
      <c r="L55" s="38">
        <v>7.5659999999999998</v>
      </c>
      <c r="M55" s="28" t="s">
        <v>137</v>
      </c>
      <c r="N55" s="38">
        <v>6.2679999999999998</v>
      </c>
      <c r="O55" s="28" t="s">
        <v>137</v>
      </c>
      <c r="P55" s="38">
        <v>2.8690000000000002</v>
      </c>
      <c r="Q55" s="38">
        <v>2.9550000000000001</v>
      </c>
      <c r="R55" s="28" t="s">
        <v>137</v>
      </c>
      <c r="S55" s="38">
        <v>11.525</v>
      </c>
      <c r="T55" s="29">
        <f>COUNT(K54:K65)</f>
        <v>0</v>
      </c>
    </row>
    <row r="56" spans="1:40" x14ac:dyDescent="0.2">
      <c r="A56" s="29">
        <v>51</v>
      </c>
      <c r="B56" s="29" t="s">
        <v>66</v>
      </c>
      <c r="C56" s="29" t="s">
        <v>67</v>
      </c>
      <c r="D56" s="29" t="s">
        <v>35</v>
      </c>
      <c r="E56" s="29" t="s">
        <v>36</v>
      </c>
      <c r="F56" s="29" t="s">
        <v>37</v>
      </c>
      <c r="G56" s="41">
        <v>3</v>
      </c>
      <c r="H56" s="40" t="s">
        <v>22</v>
      </c>
      <c r="I56" s="40" t="s">
        <v>22</v>
      </c>
      <c r="J56" s="29" t="s">
        <v>59</v>
      </c>
      <c r="K56" s="28" t="s">
        <v>137</v>
      </c>
      <c r="L56" s="38">
        <v>7.891</v>
      </c>
      <c r="M56" s="28" t="s">
        <v>137</v>
      </c>
      <c r="N56" s="38">
        <v>6.4870000000000001</v>
      </c>
      <c r="O56" s="28" t="s">
        <v>137</v>
      </c>
      <c r="P56" s="38">
        <v>2.601</v>
      </c>
      <c r="Q56" s="38">
        <v>2.67</v>
      </c>
      <c r="R56" s="28" t="s">
        <v>137</v>
      </c>
      <c r="S56" s="38">
        <v>11.382</v>
      </c>
      <c r="T56" s="29">
        <f>COUNT(L54:L65)</f>
        <v>12</v>
      </c>
    </row>
    <row r="57" spans="1:40" x14ac:dyDescent="0.2">
      <c r="A57" s="29">
        <v>52</v>
      </c>
      <c r="B57" s="29" t="s">
        <v>66</v>
      </c>
      <c r="C57" s="29" t="s">
        <v>67</v>
      </c>
      <c r="D57" s="29" t="s">
        <v>35</v>
      </c>
      <c r="E57" s="29" t="s">
        <v>36</v>
      </c>
      <c r="F57" s="29" t="s">
        <v>37</v>
      </c>
      <c r="G57" s="36">
        <v>1</v>
      </c>
      <c r="H57" s="40" t="s">
        <v>22</v>
      </c>
      <c r="I57" s="40" t="s">
        <v>22</v>
      </c>
      <c r="J57" s="29" t="s">
        <v>26</v>
      </c>
      <c r="K57" s="28" t="s">
        <v>137</v>
      </c>
      <c r="L57" s="38">
        <v>8.0229999999999997</v>
      </c>
      <c r="M57" s="28" t="s">
        <v>137</v>
      </c>
      <c r="N57" s="38">
        <v>6.1319999999999997</v>
      </c>
      <c r="O57" s="28" t="s">
        <v>137</v>
      </c>
      <c r="P57" s="38">
        <v>2.4550000000000001</v>
      </c>
      <c r="Q57" s="38">
        <v>2.9660000000000002</v>
      </c>
      <c r="R57" s="28" t="s">
        <v>137</v>
      </c>
      <c r="S57" s="38">
        <v>11.882999999999999</v>
      </c>
      <c r="T57" s="29">
        <f>COUNT(M54:M65)</f>
        <v>0</v>
      </c>
    </row>
    <row r="58" spans="1:40" x14ac:dyDescent="0.2">
      <c r="A58" s="29">
        <v>53</v>
      </c>
      <c r="B58" s="29" t="s">
        <v>66</v>
      </c>
      <c r="C58" s="29" t="s">
        <v>67</v>
      </c>
      <c r="D58" s="29" t="s">
        <v>35</v>
      </c>
      <c r="E58" s="29" t="s">
        <v>36</v>
      </c>
      <c r="F58" s="29" t="s">
        <v>37</v>
      </c>
      <c r="G58" s="39">
        <v>2</v>
      </c>
      <c r="H58" s="40" t="s">
        <v>22</v>
      </c>
      <c r="I58" s="40" t="s">
        <v>22</v>
      </c>
      <c r="J58" s="29" t="s">
        <v>27</v>
      </c>
      <c r="K58" s="28" t="s">
        <v>137</v>
      </c>
      <c r="L58" s="38">
        <v>7.9980000000000002</v>
      </c>
      <c r="M58" s="28" t="s">
        <v>137</v>
      </c>
      <c r="N58" s="38">
        <v>6.2210000000000001</v>
      </c>
      <c r="O58" s="28" t="s">
        <v>137</v>
      </c>
      <c r="P58" s="38">
        <v>2.6930000000000001</v>
      </c>
      <c r="Q58" s="38">
        <v>2.9630000000000001</v>
      </c>
      <c r="R58" s="28" t="s">
        <v>137</v>
      </c>
      <c r="S58" s="38">
        <v>11.507</v>
      </c>
      <c r="T58" s="29">
        <f>COUNT(N54:N65)</f>
        <v>12</v>
      </c>
    </row>
    <row r="59" spans="1:40" x14ac:dyDescent="0.2">
      <c r="A59" s="29">
        <v>54</v>
      </c>
      <c r="B59" s="29" t="s">
        <v>66</v>
      </c>
      <c r="C59" s="29" t="s">
        <v>67</v>
      </c>
      <c r="D59" s="29" t="s">
        <v>35</v>
      </c>
      <c r="E59" s="29" t="s">
        <v>36</v>
      </c>
      <c r="F59" s="29" t="s">
        <v>37</v>
      </c>
      <c r="G59" s="41">
        <v>3</v>
      </c>
      <c r="H59" s="40" t="s">
        <v>22</v>
      </c>
      <c r="I59" s="40" t="s">
        <v>22</v>
      </c>
      <c r="J59" s="29" t="s">
        <v>50</v>
      </c>
      <c r="K59" s="28" t="s">
        <v>137</v>
      </c>
      <c r="L59" s="38">
        <v>7.8620000000000001</v>
      </c>
      <c r="M59" s="28" t="s">
        <v>137</v>
      </c>
      <c r="N59" s="38">
        <v>6.4939999999999998</v>
      </c>
      <c r="O59" s="28" t="s">
        <v>137</v>
      </c>
      <c r="P59" s="38">
        <v>2.6040000000000001</v>
      </c>
      <c r="Q59" s="38">
        <v>2.7120000000000002</v>
      </c>
      <c r="R59" s="28" t="s">
        <v>137</v>
      </c>
      <c r="S59" s="38">
        <v>11.382</v>
      </c>
      <c r="T59" s="29">
        <f>COUNT(O54:O65)</f>
        <v>0</v>
      </c>
    </row>
    <row r="60" spans="1:40" x14ac:dyDescent="0.2">
      <c r="A60" s="29">
        <v>55</v>
      </c>
      <c r="B60" s="29" t="s">
        <v>66</v>
      </c>
      <c r="C60" s="29" t="s">
        <v>67</v>
      </c>
      <c r="D60" s="29" t="s">
        <v>35</v>
      </c>
      <c r="E60" s="29" t="s">
        <v>36</v>
      </c>
      <c r="F60" s="29" t="s">
        <v>37</v>
      </c>
      <c r="G60" s="36">
        <v>1</v>
      </c>
      <c r="H60" s="40" t="s">
        <v>22</v>
      </c>
      <c r="I60" s="40" t="s">
        <v>22</v>
      </c>
      <c r="J60" s="29" t="s">
        <v>39</v>
      </c>
      <c r="K60" s="28" t="s">
        <v>137</v>
      </c>
      <c r="L60" s="38">
        <v>8.016</v>
      </c>
      <c r="M60" s="28" t="s">
        <v>137</v>
      </c>
      <c r="N60" s="38">
        <v>6.1859999999999999</v>
      </c>
      <c r="O60" s="28" t="s">
        <v>137</v>
      </c>
      <c r="P60" s="38">
        <v>2.5339999999999998</v>
      </c>
      <c r="Q60" s="38">
        <v>2.9910000000000001</v>
      </c>
      <c r="R60" s="28" t="s">
        <v>137</v>
      </c>
      <c r="S60" s="38">
        <v>11.821</v>
      </c>
      <c r="T60" s="29">
        <f>COUNT(P54:P65)</f>
        <v>12</v>
      </c>
    </row>
    <row r="61" spans="1:40" x14ac:dyDescent="0.2">
      <c r="A61" s="29">
        <v>56</v>
      </c>
      <c r="B61" s="29" t="s">
        <v>66</v>
      </c>
      <c r="C61" s="29" t="s">
        <v>67</v>
      </c>
      <c r="D61" s="29" t="s">
        <v>35</v>
      </c>
      <c r="E61" s="29" t="s">
        <v>36</v>
      </c>
      <c r="F61" s="29" t="s">
        <v>37</v>
      </c>
      <c r="G61" s="39">
        <v>2</v>
      </c>
      <c r="H61" s="40" t="s">
        <v>22</v>
      </c>
      <c r="I61" s="40" t="s">
        <v>22</v>
      </c>
      <c r="J61" s="29" t="s">
        <v>40</v>
      </c>
      <c r="K61" s="28" t="s">
        <v>137</v>
      </c>
      <c r="L61" s="38">
        <v>7.9740000000000002</v>
      </c>
      <c r="M61" s="28" t="s">
        <v>137</v>
      </c>
      <c r="N61" s="38">
        <v>6.2249999999999996</v>
      </c>
      <c r="O61" s="28" t="s">
        <v>137</v>
      </c>
      <c r="P61" s="38">
        <v>2.6890000000000001</v>
      </c>
      <c r="Q61" s="38">
        <v>2.9239999999999999</v>
      </c>
      <c r="R61" s="28" t="s">
        <v>137</v>
      </c>
      <c r="S61" s="38">
        <v>11.454000000000001</v>
      </c>
      <c r="T61" s="29">
        <f>COUNT(Q54:Q65)</f>
        <v>12</v>
      </c>
    </row>
    <row r="62" spans="1:40" x14ac:dyDescent="0.2">
      <c r="A62" s="29">
        <v>57</v>
      </c>
      <c r="B62" s="29" t="s">
        <v>66</v>
      </c>
      <c r="C62" s="29" t="s">
        <v>67</v>
      </c>
      <c r="D62" s="29" t="s">
        <v>35</v>
      </c>
      <c r="E62" s="29" t="s">
        <v>36</v>
      </c>
      <c r="F62" s="29" t="s">
        <v>37</v>
      </c>
      <c r="G62" s="41">
        <v>3</v>
      </c>
      <c r="H62" s="40" t="s">
        <v>22</v>
      </c>
      <c r="I62" s="40" t="s">
        <v>22</v>
      </c>
      <c r="J62" s="29" t="s">
        <v>47</v>
      </c>
      <c r="K62" s="28" t="s">
        <v>137</v>
      </c>
      <c r="L62" s="38">
        <v>7.8280000000000003</v>
      </c>
      <c r="M62" s="28" t="s">
        <v>137</v>
      </c>
      <c r="N62" s="38">
        <v>6.4939999999999998</v>
      </c>
      <c r="O62" s="28" t="s">
        <v>137</v>
      </c>
      <c r="P62" s="38">
        <v>2.6120000000000001</v>
      </c>
      <c r="Q62" s="38">
        <v>2.7</v>
      </c>
      <c r="R62" s="28" t="s">
        <v>137</v>
      </c>
      <c r="S62" s="38">
        <v>11.182</v>
      </c>
      <c r="T62" s="29">
        <f>COUNT(R54:R65)</f>
        <v>0</v>
      </c>
    </row>
    <row r="63" spans="1:40" x14ac:dyDescent="0.2">
      <c r="A63" s="29">
        <v>58</v>
      </c>
      <c r="B63" s="29" t="s">
        <v>66</v>
      </c>
      <c r="C63" s="29" t="s">
        <v>67</v>
      </c>
      <c r="D63" s="29" t="s">
        <v>35</v>
      </c>
      <c r="E63" s="29" t="s">
        <v>36</v>
      </c>
      <c r="F63" s="29" t="s">
        <v>37</v>
      </c>
      <c r="G63" s="36">
        <v>1</v>
      </c>
      <c r="H63" s="40" t="s">
        <v>22</v>
      </c>
      <c r="I63" s="40" t="s">
        <v>22</v>
      </c>
      <c r="J63" s="29" t="s">
        <v>41</v>
      </c>
      <c r="K63" s="28" t="s">
        <v>137</v>
      </c>
      <c r="L63" s="38">
        <v>7.9630000000000001</v>
      </c>
      <c r="M63" s="28" t="s">
        <v>137</v>
      </c>
      <c r="N63" s="38">
        <v>6.133</v>
      </c>
      <c r="O63" s="28" t="s">
        <v>137</v>
      </c>
      <c r="P63" s="38">
        <v>2.411</v>
      </c>
      <c r="Q63" s="38">
        <v>2.8780000000000001</v>
      </c>
      <c r="R63" s="28" t="s">
        <v>137</v>
      </c>
      <c r="S63" s="38">
        <v>11.638999999999999</v>
      </c>
      <c r="T63" s="29">
        <f>COUNT(S54:S65)</f>
        <v>12</v>
      </c>
    </row>
    <row r="64" spans="1:40" x14ac:dyDescent="0.2">
      <c r="A64" s="29">
        <v>59</v>
      </c>
      <c r="B64" s="29" t="s">
        <v>66</v>
      </c>
      <c r="C64" s="29" t="s">
        <v>67</v>
      </c>
      <c r="D64" s="29" t="s">
        <v>35</v>
      </c>
      <c r="E64" s="29" t="s">
        <v>36</v>
      </c>
      <c r="F64" s="29" t="s">
        <v>37</v>
      </c>
      <c r="G64" s="39">
        <v>2</v>
      </c>
      <c r="H64" s="40" t="s">
        <v>22</v>
      </c>
      <c r="I64" s="40" t="s">
        <v>22</v>
      </c>
      <c r="J64" s="29" t="s">
        <v>28</v>
      </c>
      <c r="K64" s="28" t="s">
        <v>137</v>
      </c>
      <c r="L64" s="38">
        <v>8.0449999999999999</v>
      </c>
      <c r="M64" s="28" t="s">
        <v>137</v>
      </c>
      <c r="N64" s="38">
        <v>6.0960000000000001</v>
      </c>
      <c r="O64" s="28" t="s">
        <v>137</v>
      </c>
      <c r="P64" s="38">
        <v>2.7490000000000001</v>
      </c>
      <c r="Q64" s="38">
        <v>2.7589999999999999</v>
      </c>
      <c r="R64" s="28" t="s">
        <v>137</v>
      </c>
      <c r="S64" s="38">
        <v>11.709</v>
      </c>
      <c r="T64" s="29">
        <f>T54-SUM(T55:T63)</f>
        <v>0</v>
      </c>
    </row>
    <row r="65" spans="1:53" x14ac:dyDescent="0.2">
      <c r="A65" s="29">
        <v>60</v>
      </c>
      <c r="B65" s="29" t="s">
        <v>66</v>
      </c>
      <c r="C65" s="29" t="s">
        <v>67</v>
      </c>
      <c r="D65" s="29" t="s">
        <v>35</v>
      </c>
      <c r="E65" s="29" t="s">
        <v>36</v>
      </c>
      <c r="F65" s="29" t="s">
        <v>37</v>
      </c>
      <c r="G65" s="41">
        <v>3</v>
      </c>
      <c r="H65" s="40" t="s">
        <v>22</v>
      </c>
      <c r="I65" s="40" t="s">
        <v>22</v>
      </c>
      <c r="J65" s="29" t="s">
        <v>29</v>
      </c>
      <c r="K65" s="28" t="s">
        <v>137</v>
      </c>
      <c r="L65" s="38">
        <v>7.6950000000000003</v>
      </c>
      <c r="M65" s="28" t="s">
        <v>137</v>
      </c>
      <c r="N65" s="38">
        <v>6.3019999999999996</v>
      </c>
      <c r="O65" s="28" t="s">
        <v>137</v>
      </c>
      <c r="P65" s="38">
        <v>2.6139999999999999</v>
      </c>
      <c r="Q65" s="38">
        <v>2.7759999999999998</v>
      </c>
      <c r="R65" s="28" t="s">
        <v>137</v>
      </c>
      <c r="S65" s="38">
        <v>11.321</v>
      </c>
      <c r="T65" s="29">
        <v>9999</v>
      </c>
    </row>
    <row r="66" spans="1:53" s="26" customForma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47"/>
      <c r="L66" s="48"/>
      <c r="M66" s="47"/>
      <c r="N66" s="48"/>
      <c r="O66" s="47"/>
      <c r="P66" s="48"/>
      <c r="Q66" s="48"/>
      <c r="R66" s="47"/>
      <c r="S66" s="48"/>
      <c r="T66" s="21"/>
      <c r="U66" s="25"/>
    </row>
    <row r="67" spans="1:53" x14ac:dyDescent="0.2">
      <c r="A67" s="29">
        <v>73</v>
      </c>
      <c r="B67" s="29" t="s">
        <v>85</v>
      </c>
      <c r="C67" s="29" t="s">
        <v>86</v>
      </c>
      <c r="D67" s="29" t="s">
        <v>35</v>
      </c>
      <c r="E67" s="29" t="s">
        <v>36</v>
      </c>
      <c r="F67" s="29" t="s">
        <v>37</v>
      </c>
      <c r="G67" s="36">
        <v>1</v>
      </c>
      <c r="H67" s="40" t="s">
        <v>22</v>
      </c>
      <c r="I67" s="40" t="s">
        <v>22</v>
      </c>
      <c r="J67" s="29" t="s">
        <v>24</v>
      </c>
      <c r="K67" s="28" t="s">
        <v>137</v>
      </c>
      <c r="L67" s="38">
        <v>8.11</v>
      </c>
      <c r="M67" s="28" t="s">
        <v>137</v>
      </c>
      <c r="N67" s="38">
        <v>6.133</v>
      </c>
      <c r="O67" s="28" t="s">
        <v>137</v>
      </c>
      <c r="P67" s="38">
        <v>2.8479999999999999</v>
      </c>
      <c r="Q67" s="38">
        <v>3.056</v>
      </c>
      <c r="R67" s="28" t="s">
        <v>137</v>
      </c>
      <c r="S67" s="38">
        <v>11.689</v>
      </c>
      <c r="T67" s="29">
        <f>COUNT(K67:S78)</f>
        <v>60</v>
      </c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 spans="1:53" x14ac:dyDescent="0.2">
      <c r="A68" s="29">
        <v>74</v>
      </c>
      <c r="B68" s="29" t="s">
        <v>85</v>
      </c>
      <c r="C68" s="29" t="s">
        <v>86</v>
      </c>
      <c r="D68" s="29" t="s">
        <v>35</v>
      </c>
      <c r="E68" s="29" t="s">
        <v>36</v>
      </c>
      <c r="F68" s="29" t="s">
        <v>37</v>
      </c>
      <c r="G68" s="39">
        <v>2</v>
      </c>
      <c r="H68" s="40" t="s">
        <v>22</v>
      </c>
      <c r="I68" s="40" t="s">
        <v>22</v>
      </c>
      <c r="J68" s="29" t="s">
        <v>45</v>
      </c>
      <c r="K68" s="28" t="s">
        <v>137</v>
      </c>
      <c r="L68" s="38">
        <v>7.7809999999999997</v>
      </c>
      <c r="M68" s="28" t="s">
        <v>137</v>
      </c>
      <c r="N68" s="38">
        <v>6.1269999999999998</v>
      </c>
      <c r="O68" s="28" t="s">
        <v>137</v>
      </c>
      <c r="P68" s="38">
        <v>2.6819999999999999</v>
      </c>
      <c r="Q68" s="38">
        <v>2.79</v>
      </c>
      <c r="R68" s="28" t="s">
        <v>137</v>
      </c>
      <c r="S68" s="38">
        <v>11.563000000000001</v>
      </c>
      <c r="T68" s="29">
        <f>COUNT(K67:K78)</f>
        <v>0</v>
      </c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 spans="1:53" x14ac:dyDescent="0.2">
      <c r="A69" s="29">
        <v>75</v>
      </c>
      <c r="B69" s="29" t="s">
        <v>85</v>
      </c>
      <c r="C69" s="29" t="s">
        <v>86</v>
      </c>
      <c r="D69" s="29" t="s">
        <v>35</v>
      </c>
      <c r="E69" s="29" t="s">
        <v>36</v>
      </c>
      <c r="F69" s="29" t="s">
        <v>37</v>
      </c>
      <c r="G69" s="41">
        <v>3</v>
      </c>
      <c r="H69" s="40" t="s">
        <v>22</v>
      </c>
      <c r="I69" s="40" t="s">
        <v>22</v>
      </c>
      <c r="J69" s="29" t="s">
        <v>46</v>
      </c>
      <c r="K69" s="28" t="s">
        <v>137</v>
      </c>
      <c r="L69" s="38">
        <v>7.7050000000000001</v>
      </c>
      <c r="M69" s="28" t="s">
        <v>137</v>
      </c>
      <c r="N69" s="38">
        <v>6.2910000000000004</v>
      </c>
      <c r="O69" s="28" t="s">
        <v>137</v>
      </c>
      <c r="P69" s="38">
        <v>2.4780000000000002</v>
      </c>
      <c r="Q69" s="38">
        <v>2.5209999999999999</v>
      </c>
      <c r="R69" s="28" t="s">
        <v>137</v>
      </c>
      <c r="S69" s="38">
        <v>11.352</v>
      </c>
      <c r="T69" s="29">
        <f>COUNT(L67:L78)</f>
        <v>12</v>
      </c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 spans="1:53" x14ac:dyDescent="0.2">
      <c r="A70" s="29">
        <v>76</v>
      </c>
      <c r="B70" s="29" t="s">
        <v>85</v>
      </c>
      <c r="C70" s="29" t="s">
        <v>86</v>
      </c>
      <c r="D70" s="29" t="s">
        <v>35</v>
      </c>
      <c r="E70" s="29" t="s">
        <v>36</v>
      </c>
      <c r="F70" s="29" t="s">
        <v>37</v>
      </c>
      <c r="G70" s="36">
        <v>1</v>
      </c>
      <c r="H70" s="40" t="s">
        <v>22</v>
      </c>
      <c r="I70" s="40" t="s">
        <v>22</v>
      </c>
      <c r="J70" s="29" t="s">
        <v>26</v>
      </c>
      <c r="K70" s="28" t="s">
        <v>137</v>
      </c>
      <c r="L70" s="38">
        <v>7.9550000000000001</v>
      </c>
      <c r="M70" s="28" t="s">
        <v>137</v>
      </c>
      <c r="N70" s="38">
        <v>6.165</v>
      </c>
      <c r="O70" s="28" t="s">
        <v>137</v>
      </c>
      <c r="P70" s="38">
        <v>2.484</v>
      </c>
      <c r="Q70" s="38">
        <v>3.052</v>
      </c>
      <c r="R70" s="28" t="s">
        <v>137</v>
      </c>
      <c r="S70" s="38">
        <v>11.925000000000001</v>
      </c>
      <c r="T70" s="29">
        <f>COUNT(M67:M78)</f>
        <v>0</v>
      </c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 spans="1:53" x14ac:dyDescent="0.2">
      <c r="A71" s="29">
        <v>77</v>
      </c>
      <c r="B71" s="29" t="s">
        <v>85</v>
      </c>
      <c r="C71" s="29" t="s">
        <v>86</v>
      </c>
      <c r="D71" s="29" t="s">
        <v>35</v>
      </c>
      <c r="E71" s="29" t="s">
        <v>36</v>
      </c>
      <c r="F71" s="29" t="s">
        <v>37</v>
      </c>
      <c r="G71" s="39">
        <v>2</v>
      </c>
      <c r="H71" s="40" t="s">
        <v>22</v>
      </c>
      <c r="I71" s="40" t="s">
        <v>22</v>
      </c>
      <c r="J71" s="29" t="s">
        <v>27</v>
      </c>
      <c r="K71" s="28" t="s">
        <v>137</v>
      </c>
      <c r="L71" s="38">
        <v>8.02</v>
      </c>
      <c r="M71" s="28" t="s">
        <v>137</v>
      </c>
      <c r="N71" s="38">
        <v>6.2770000000000001</v>
      </c>
      <c r="O71" s="28" t="s">
        <v>137</v>
      </c>
      <c r="P71" s="38">
        <v>2.81</v>
      </c>
      <c r="Q71" s="38">
        <v>3.004</v>
      </c>
      <c r="R71" s="28" t="s">
        <v>137</v>
      </c>
      <c r="S71" s="38">
        <v>11.448</v>
      </c>
      <c r="T71" s="29">
        <f>COUNT(N67:N78)</f>
        <v>12</v>
      </c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 spans="1:53" x14ac:dyDescent="0.2">
      <c r="A72" s="29">
        <v>78</v>
      </c>
      <c r="B72" s="29" t="s">
        <v>85</v>
      </c>
      <c r="C72" s="29" t="s">
        <v>86</v>
      </c>
      <c r="D72" s="29" t="s">
        <v>35</v>
      </c>
      <c r="E72" s="29" t="s">
        <v>36</v>
      </c>
      <c r="F72" s="29" t="s">
        <v>37</v>
      </c>
      <c r="G72" s="41">
        <v>3</v>
      </c>
      <c r="H72" s="40" t="s">
        <v>22</v>
      </c>
      <c r="I72" s="40" t="s">
        <v>22</v>
      </c>
      <c r="J72" s="29" t="s">
        <v>50</v>
      </c>
      <c r="K72" s="28" t="s">
        <v>137</v>
      </c>
      <c r="L72" s="38">
        <v>7.8639999999999999</v>
      </c>
      <c r="M72" s="28" t="s">
        <v>137</v>
      </c>
      <c r="N72" s="38">
        <v>6.4640000000000004</v>
      </c>
      <c r="O72" s="28" t="s">
        <v>137</v>
      </c>
      <c r="P72" s="38">
        <v>2.5710000000000002</v>
      </c>
      <c r="Q72" s="38">
        <v>2.7320000000000002</v>
      </c>
      <c r="R72" s="28" t="s">
        <v>137</v>
      </c>
      <c r="S72" s="38">
        <v>11.263999999999999</v>
      </c>
      <c r="T72" s="29">
        <f>COUNT(O67:O78)</f>
        <v>0</v>
      </c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 spans="1:53" x14ac:dyDescent="0.2">
      <c r="A73" s="29">
        <v>79</v>
      </c>
      <c r="B73" s="29" t="s">
        <v>85</v>
      </c>
      <c r="C73" s="29" t="s">
        <v>86</v>
      </c>
      <c r="D73" s="29" t="s">
        <v>35</v>
      </c>
      <c r="E73" s="29" t="s">
        <v>36</v>
      </c>
      <c r="F73" s="29" t="s">
        <v>37</v>
      </c>
      <c r="G73" s="36">
        <v>1</v>
      </c>
      <c r="H73" s="40" t="s">
        <v>22</v>
      </c>
      <c r="I73" s="40" t="s">
        <v>22</v>
      </c>
      <c r="J73" s="29" t="s">
        <v>39</v>
      </c>
      <c r="K73" s="28" t="s">
        <v>137</v>
      </c>
      <c r="L73" s="38">
        <v>8.109</v>
      </c>
      <c r="M73" s="28" t="s">
        <v>137</v>
      </c>
      <c r="N73" s="38">
        <v>6.2279999999999998</v>
      </c>
      <c r="O73" s="28" t="s">
        <v>137</v>
      </c>
      <c r="P73" s="38">
        <v>2.5670000000000002</v>
      </c>
      <c r="Q73" s="38">
        <v>2.9969999999999999</v>
      </c>
      <c r="R73" s="28" t="s">
        <v>137</v>
      </c>
      <c r="S73" s="38">
        <v>11.95</v>
      </c>
      <c r="T73" s="29">
        <f>COUNT(P67:P78)</f>
        <v>12</v>
      </c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 spans="1:53" x14ac:dyDescent="0.2">
      <c r="A74" s="29">
        <v>80</v>
      </c>
      <c r="B74" s="29" t="s">
        <v>85</v>
      </c>
      <c r="C74" s="29" t="s">
        <v>86</v>
      </c>
      <c r="D74" s="29" t="s">
        <v>35</v>
      </c>
      <c r="E74" s="29" t="s">
        <v>36</v>
      </c>
      <c r="F74" s="29" t="s">
        <v>37</v>
      </c>
      <c r="G74" s="39">
        <v>2</v>
      </c>
      <c r="H74" s="40" t="s">
        <v>22</v>
      </c>
      <c r="I74" s="40" t="s">
        <v>22</v>
      </c>
      <c r="J74" s="29" t="s">
        <v>40</v>
      </c>
      <c r="K74" s="28" t="s">
        <v>137</v>
      </c>
      <c r="L74" s="38">
        <v>7.9889999999999999</v>
      </c>
      <c r="M74" s="28" t="s">
        <v>137</v>
      </c>
      <c r="N74" s="38">
        <v>6.1909999999999998</v>
      </c>
      <c r="O74" s="28" t="s">
        <v>137</v>
      </c>
      <c r="P74" s="38">
        <v>2.72</v>
      </c>
      <c r="Q74" s="38">
        <v>2.8849999999999998</v>
      </c>
      <c r="R74" s="28" t="s">
        <v>137</v>
      </c>
      <c r="S74" s="38">
        <v>11.493</v>
      </c>
      <c r="T74" s="29">
        <f>COUNT(Q67:Q78)</f>
        <v>12</v>
      </c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 spans="1:53" x14ac:dyDescent="0.2">
      <c r="A75" s="29">
        <v>81</v>
      </c>
      <c r="B75" s="29" t="s">
        <v>85</v>
      </c>
      <c r="C75" s="29" t="s">
        <v>86</v>
      </c>
      <c r="D75" s="29" t="s">
        <v>35</v>
      </c>
      <c r="E75" s="29" t="s">
        <v>36</v>
      </c>
      <c r="F75" s="29" t="s">
        <v>37</v>
      </c>
      <c r="G75" s="41">
        <v>3</v>
      </c>
      <c r="H75" s="40" t="s">
        <v>22</v>
      </c>
      <c r="I75" s="40" t="s">
        <v>22</v>
      </c>
      <c r="J75" s="29" t="s">
        <v>47</v>
      </c>
      <c r="K75" s="28" t="s">
        <v>137</v>
      </c>
      <c r="L75" s="38">
        <v>7.8330000000000002</v>
      </c>
      <c r="M75" s="28" t="s">
        <v>137</v>
      </c>
      <c r="N75" s="38">
        <v>6.4180000000000001</v>
      </c>
      <c r="O75" s="28" t="s">
        <v>137</v>
      </c>
      <c r="P75" s="38">
        <v>2.52</v>
      </c>
      <c r="Q75" s="38">
        <v>2.6640000000000001</v>
      </c>
      <c r="R75" s="28" t="s">
        <v>137</v>
      </c>
      <c r="S75" s="38">
        <v>11.077999999999999</v>
      </c>
      <c r="T75" s="29">
        <f>COUNT(R67:R78)</f>
        <v>0</v>
      </c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 spans="1:53" x14ac:dyDescent="0.2">
      <c r="A76" s="29">
        <v>82</v>
      </c>
      <c r="B76" s="29" t="s">
        <v>85</v>
      </c>
      <c r="C76" s="29" t="s">
        <v>86</v>
      </c>
      <c r="D76" s="29" t="s">
        <v>35</v>
      </c>
      <c r="E76" s="29" t="s">
        <v>36</v>
      </c>
      <c r="F76" s="29" t="s">
        <v>37</v>
      </c>
      <c r="G76" s="36">
        <v>1</v>
      </c>
      <c r="H76" s="40" t="s">
        <v>22</v>
      </c>
      <c r="I76" s="40" t="s">
        <v>22</v>
      </c>
      <c r="J76" s="29" t="s">
        <v>28</v>
      </c>
      <c r="K76" s="28" t="s">
        <v>137</v>
      </c>
      <c r="L76" s="38">
        <v>8.1029999999999998</v>
      </c>
      <c r="M76" s="28" t="s">
        <v>137</v>
      </c>
      <c r="N76" s="38">
        <v>6.1079999999999997</v>
      </c>
      <c r="O76" s="28" t="s">
        <v>137</v>
      </c>
      <c r="P76" s="38">
        <v>2.589</v>
      </c>
      <c r="Q76" s="38">
        <v>2.85</v>
      </c>
      <c r="R76" s="28" t="s">
        <v>137</v>
      </c>
      <c r="S76" s="38">
        <v>11.417</v>
      </c>
      <c r="T76" s="29">
        <f>COUNT(S67:S78)</f>
        <v>12</v>
      </c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 spans="1:53" x14ac:dyDescent="0.2">
      <c r="A77" s="29">
        <v>83</v>
      </c>
      <c r="B77" s="29" t="s">
        <v>85</v>
      </c>
      <c r="C77" s="29" t="s">
        <v>86</v>
      </c>
      <c r="D77" s="29" t="s">
        <v>35</v>
      </c>
      <c r="E77" s="29" t="s">
        <v>36</v>
      </c>
      <c r="F77" s="29" t="s">
        <v>37</v>
      </c>
      <c r="G77" s="39">
        <v>2</v>
      </c>
      <c r="H77" s="40" t="s">
        <v>22</v>
      </c>
      <c r="I77" s="40" t="s">
        <v>22</v>
      </c>
      <c r="J77" s="29" t="s">
        <v>29</v>
      </c>
      <c r="K77" s="28" t="s">
        <v>137</v>
      </c>
      <c r="L77" s="38">
        <v>7.8840000000000003</v>
      </c>
      <c r="M77" s="28" t="s">
        <v>137</v>
      </c>
      <c r="N77" s="38">
        <v>6.0940000000000003</v>
      </c>
      <c r="O77" s="28" t="s">
        <v>137</v>
      </c>
      <c r="P77" s="38">
        <v>2.7490000000000001</v>
      </c>
      <c r="Q77" s="38">
        <v>2.7789999999999999</v>
      </c>
      <c r="R77" s="28" t="s">
        <v>137</v>
      </c>
      <c r="S77" s="38">
        <v>11.346</v>
      </c>
      <c r="T77" s="29">
        <f>T67-SUM(T68:T76)</f>
        <v>0</v>
      </c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 spans="1:53" x14ac:dyDescent="0.2">
      <c r="A78" s="29">
        <v>84</v>
      </c>
      <c r="B78" s="29" t="s">
        <v>85</v>
      </c>
      <c r="C78" s="29" t="s">
        <v>86</v>
      </c>
      <c r="D78" s="29" t="s">
        <v>35</v>
      </c>
      <c r="E78" s="29" t="s">
        <v>36</v>
      </c>
      <c r="F78" s="29" t="s">
        <v>37</v>
      </c>
      <c r="G78" s="41">
        <v>3</v>
      </c>
      <c r="H78" s="40" t="s">
        <v>22</v>
      </c>
      <c r="I78" s="40" t="s">
        <v>22</v>
      </c>
      <c r="J78" s="29" t="s">
        <v>30</v>
      </c>
      <c r="K78" s="28" t="s">
        <v>137</v>
      </c>
      <c r="L78" s="38">
        <v>7.7359999999999998</v>
      </c>
      <c r="M78" s="28" t="s">
        <v>137</v>
      </c>
      <c r="N78" s="38">
        <v>6.2270000000000003</v>
      </c>
      <c r="O78" s="28" t="s">
        <v>137</v>
      </c>
      <c r="P78" s="38">
        <v>2.621</v>
      </c>
      <c r="Q78" s="38">
        <v>2.7949999999999999</v>
      </c>
      <c r="R78" s="28" t="s">
        <v>137</v>
      </c>
      <c r="S78" s="38">
        <v>11.18</v>
      </c>
      <c r="T78" s="29">
        <v>9999</v>
      </c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 spans="1:53" s="26" customForma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47"/>
      <c r="L79" s="48"/>
      <c r="M79" s="47"/>
      <c r="N79" s="48"/>
      <c r="O79" s="47"/>
      <c r="P79" s="48"/>
      <c r="Q79" s="48"/>
      <c r="R79" s="47"/>
      <c r="S79" s="48"/>
      <c r="T79" s="21"/>
      <c r="U79" s="25"/>
    </row>
    <row r="80" spans="1:53" x14ac:dyDescent="0.15">
      <c r="A80" s="29">
        <v>109</v>
      </c>
      <c r="B80" s="30" t="s">
        <v>148</v>
      </c>
      <c r="C80" s="30" t="s">
        <v>133</v>
      </c>
      <c r="D80" s="30" t="s">
        <v>35</v>
      </c>
      <c r="E80" s="30" t="s">
        <v>36</v>
      </c>
      <c r="F80" s="35" t="s">
        <v>37</v>
      </c>
      <c r="G80" s="31">
        <v>1</v>
      </c>
      <c r="H80" s="33" t="s">
        <v>22</v>
      </c>
      <c r="I80" s="33" t="s">
        <v>22</v>
      </c>
      <c r="J80" s="30" t="s">
        <v>23</v>
      </c>
      <c r="K80" s="35" t="s">
        <v>137</v>
      </c>
      <c r="L80" s="1">
        <v>8.1460000000000008</v>
      </c>
      <c r="M80" s="35" t="s">
        <v>137</v>
      </c>
      <c r="N80" s="1">
        <v>6.1580000000000004</v>
      </c>
      <c r="O80" s="35" t="s">
        <v>137</v>
      </c>
      <c r="P80" s="29">
        <v>2.8420000000000001</v>
      </c>
      <c r="Q80" s="29">
        <v>3.0920000000000001</v>
      </c>
      <c r="R80" s="35" t="s">
        <v>137</v>
      </c>
      <c r="S80" s="27">
        <v>11.98</v>
      </c>
      <c r="T80" s="29">
        <f>COUNT(K80:S91)</f>
        <v>60</v>
      </c>
      <c r="V80" s="42"/>
      <c r="W80" s="42"/>
      <c r="X80" s="42"/>
      <c r="Y80" s="42"/>
      <c r="Z80" s="42"/>
      <c r="AA80" s="42"/>
      <c r="AB80" s="42"/>
      <c r="AC80" s="49"/>
      <c r="AD80" s="50"/>
      <c r="AE80" s="49"/>
      <c r="AF80" s="50"/>
      <c r="AG80" s="49"/>
      <c r="AH80" s="50"/>
      <c r="AI80" s="50"/>
      <c r="AJ80" s="49"/>
      <c r="AK80" s="50"/>
      <c r="AL80" s="42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</row>
    <row r="81" spans="1:53" x14ac:dyDescent="0.15">
      <c r="A81" s="29">
        <v>110</v>
      </c>
      <c r="B81" s="30" t="s">
        <v>148</v>
      </c>
      <c r="C81" s="30" t="s">
        <v>133</v>
      </c>
      <c r="D81" s="30" t="s">
        <v>35</v>
      </c>
      <c r="E81" s="30" t="s">
        <v>36</v>
      </c>
      <c r="F81" s="35" t="s">
        <v>37</v>
      </c>
      <c r="G81" s="32">
        <v>2</v>
      </c>
      <c r="H81" s="33" t="s">
        <v>22</v>
      </c>
      <c r="I81" s="33" t="s">
        <v>22</v>
      </c>
      <c r="J81" s="30" t="s">
        <v>24</v>
      </c>
      <c r="K81" s="35" t="s">
        <v>137</v>
      </c>
      <c r="L81" s="1">
        <v>7.7539999999999996</v>
      </c>
      <c r="M81" s="35" t="s">
        <v>137</v>
      </c>
      <c r="N81" s="1">
        <v>6.1890000000000001</v>
      </c>
      <c r="O81" s="35" t="s">
        <v>137</v>
      </c>
      <c r="P81" s="29">
        <v>2.6480000000000001</v>
      </c>
      <c r="Q81" s="29">
        <v>2.9329999999999998</v>
      </c>
      <c r="R81" s="35" t="s">
        <v>137</v>
      </c>
      <c r="S81" s="27">
        <v>11.323</v>
      </c>
      <c r="T81" s="29">
        <f>COUNT(K80:K91)</f>
        <v>0</v>
      </c>
      <c r="V81" s="42"/>
      <c r="W81" s="42"/>
      <c r="X81" s="42"/>
      <c r="Y81" s="42"/>
      <c r="Z81" s="42"/>
      <c r="AA81" s="42"/>
      <c r="AB81" s="42"/>
      <c r="AC81" s="49"/>
      <c r="AD81" s="50"/>
      <c r="AE81" s="49"/>
      <c r="AF81" s="50"/>
      <c r="AG81" s="49"/>
      <c r="AH81" s="50"/>
      <c r="AI81" s="50"/>
      <c r="AJ81" s="49"/>
      <c r="AK81" s="50"/>
      <c r="AL81" s="42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</row>
    <row r="82" spans="1:53" x14ac:dyDescent="0.15">
      <c r="A82" s="29">
        <v>111</v>
      </c>
      <c r="B82" s="30" t="s">
        <v>148</v>
      </c>
      <c r="C82" s="30" t="s">
        <v>133</v>
      </c>
      <c r="D82" s="30" t="s">
        <v>35</v>
      </c>
      <c r="E82" s="30" t="s">
        <v>36</v>
      </c>
      <c r="F82" s="35" t="s">
        <v>37</v>
      </c>
      <c r="G82" s="34">
        <v>3</v>
      </c>
      <c r="H82" s="33" t="s">
        <v>22</v>
      </c>
      <c r="I82" s="33" t="s">
        <v>22</v>
      </c>
      <c r="J82" s="30" t="s">
        <v>45</v>
      </c>
      <c r="K82" s="35" t="s">
        <v>137</v>
      </c>
      <c r="L82" s="1">
        <v>7.6980000000000004</v>
      </c>
      <c r="M82" s="35" t="s">
        <v>137</v>
      </c>
      <c r="N82" s="1">
        <v>6.4009999999999998</v>
      </c>
      <c r="O82" s="35" t="s">
        <v>137</v>
      </c>
      <c r="P82" s="29">
        <v>2.516</v>
      </c>
      <c r="Q82" s="29">
        <v>2.6059999999999999</v>
      </c>
      <c r="R82" s="35" t="s">
        <v>137</v>
      </c>
      <c r="S82" s="27">
        <v>11.170999999999999</v>
      </c>
      <c r="T82" s="29">
        <f>COUNT(L80:L91)</f>
        <v>12</v>
      </c>
      <c r="V82" s="42"/>
      <c r="W82" s="42"/>
      <c r="X82" s="42"/>
      <c r="Y82" s="42"/>
      <c r="Z82" s="42"/>
      <c r="AA82" s="42"/>
      <c r="AB82" s="42"/>
      <c r="AC82" s="49"/>
      <c r="AD82" s="50"/>
      <c r="AE82" s="49"/>
      <c r="AF82" s="50"/>
      <c r="AG82" s="49"/>
      <c r="AH82" s="50"/>
      <c r="AI82" s="50"/>
      <c r="AJ82" s="49"/>
      <c r="AK82" s="50"/>
      <c r="AL82" s="42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</row>
    <row r="83" spans="1:53" x14ac:dyDescent="0.15">
      <c r="A83" s="29">
        <v>112</v>
      </c>
      <c r="B83" s="30" t="s">
        <v>148</v>
      </c>
      <c r="C83" s="30" t="s">
        <v>133</v>
      </c>
      <c r="D83" s="30" t="s">
        <v>35</v>
      </c>
      <c r="E83" s="30" t="s">
        <v>36</v>
      </c>
      <c r="F83" s="35" t="s">
        <v>37</v>
      </c>
      <c r="G83" s="31">
        <v>1</v>
      </c>
      <c r="H83" s="33" t="s">
        <v>22</v>
      </c>
      <c r="I83" s="33" t="s">
        <v>22</v>
      </c>
      <c r="J83" s="30" t="s">
        <v>59</v>
      </c>
      <c r="K83" s="35" t="s">
        <v>137</v>
      </c>
      <c r="L83" s="1">
        <v>8.0250000000000004</v>
      </c>
      <c r="M83" s="35" t="s">
        <v>137</v>
      </c>
      <c r="N83" s="1">
        <v>6.0739999999999998</v>
      </c>
      <c r="O83" s="35" t="s">
        <v>137</v>
      </c>
      <c r="P83" s="29">
        <v>2.4249999999999998</v>
      </c>
      <c r="Q83" s="29">
        <v>2.8210000000000002</v>
      </c>
      <c r="R83" s="35" t="s">
        <v>137</v>
      </c>
      <c r="S83" s="27">
        <v>11.558999999999999</v>
      </c>
      <c r="T83" s="29">
        <f>COUNT(M80:M91)</f>
        <v>0</v>
      </c>
      <c r="V83" s="42"/>
      <c r="W83" s="42"/>
      <c r="X83" s="42"/>
      <c r="Y83" s="42"/>
      <c r="Z83" s="42"/>
      <c r="AA83" s="42"/>
      <c r="AB83" s="42"/>
      <c r="AC83" s="49"/>
      <c r="AD83" s="50"/>
      <c r="AE83" s="49"/>
      <c r="AF83" s="50"/>
      <c r="AG83" s="49"/>
      <c r="AH83" s="50"/>
      <c r="AI83" s="50"/>
      <c r="AJ83" s="49"/>
      <c r="AK83" s="50"/>
      <c r="AL83" s="42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</row>
    <row r="84" spans="1:53" x14ac:dyDescent="0.15">
      <c r="A84" s="29">
        <v>113</v>
      </c>
      <c r="B84" s="30" t="s">
        <v>148</v>
      </c>
      <c r="C84" s="30" t="s">
        <v>133</v>
      </c>
      <c r="D84" s="30" t="s">
        <v>35</v>
      </c>
      <c r="E84" s="30" t="s">
        <v>36</v>
      </c>
      <c r="F84" s="35" t="s">
        <v>37</v>
      </c>
      <c r="G84" s="32">
        <v>2</v>
      </c>
      <c r="H84" s="33" t="s">
        <v>22</v>
      </c>
      <c r="I84" s="33" t="s">
        <v>22</v>
      </c>
      <c r="J84" s="30" t="s">
        <v>25</v>
      </c>
      <c r="K84" s="35" t="s">
        <v>137</v>
      </c>
      <c r="L84" s="1">
        <v>7.9779999999999998</v>
      </c>
      <c r="M84" s="35" t="s">
        <v>137</v>
      </c>
      <c r="N84" s="1">
        <v>5.9749999999999996</v>
      </c>
      <c r="O84" s="35" t="s">
        <v>137</v>
      </c>
      <c r="P84" s="29">
        <v>2.67</v>
      </c>
      <c r="Q84" s="29">
        <v>2.7509999999999999</v>
      </c>
      <c r="R84" s="35" t="s">
        <v>137</v>
      </c>
      <c r="S84" s="27">
        <v>11.599</v>
      </c>
      <c r="T84" s="29">
        <f>COUNT(N80:N91)</f>
        <v>12</v>
      </c>
      <c r="V84" s="42"/>
      <c r="W84" s="42"/>
      <c r="X84" s="42"/>
      <c r="Y84" s="42"/>
      <c r="Z84" s="42"/>
      <c r="AA84" s="42"/>
      <c r="AB84" s="42"/>
      <c r="AC84" s="49"/>
      <c r="AD84" s="50"/>
      <c r="AE84" s="49"/>
      <c r="AF84" s="50"/>
      <c r="AG84" s="49"/>
      <c r="AH84" s="50"/>
      <c r="AI84" s="50"/>
      <c r="AJ84" s="49"/>
      <c r="AK84" s="50"/>
      <c r="AL84" s="42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</row>
    <row r="85" spans="1:53" x14ac:dyDescent="0.15">
      <c r="A85" s="29">
        <v>114</v>
      </c>
      <c r="B85" s="30" t="s">
        <v>148</v>
      </c>
      <c r="C85" s="30" t="s">
        <v>133</v>
      </c>
      <c r="D85" s="30" t="s">
        <v>35</v>
      </c>
      <c r="E85" s="30" t="s">
        <v>36</v>
      </c>
      <c r="F85" s="35" t="s">
        <v>37</v>
      </c>
      <c r="G85" s="34">
        <v>3</v>
      </c>
      <c r="H85" s="33" t="s">
        <v>22</v>
      </c>
      <c r="I85" s="33" t="s">
        <v>22</v>
      </c>
      <c r="J85" s="30" t="s">
        <v>26</v>
      </c>
      <c r="K85" s="35" t="s">
        <v>137</v>
      </c>
      <c r="L85" s="1">
        <v>7.7830000000000004</v>
      </c>
      <c r="M85" s="35" t="s">
        <v>137</v>
      </c>
      <c r="N85" s="1">
        <v>6.335</v>
      </c>
      <c r="O85" s="35" t="s">
        <v>137</v>
      </c>
      <c r="P85" s="29">
        <v>2.5</v>
      </c>
      <c r="Q85" s="29">
        <v>2.5</v>
      </c>
      <c r="R85" s="35" t="s">
        <v>137</v>
      </c>
      <c r="S85" s="27">
        <v>11.32</v>
      </c>
      <c r="T85" s="29">
        <f>COUNT(O80:O91)</f>
        <v>0</v>
      </c>
      <c r="V85" s="42"/>
      <c r="W85" s="42"/>
      <c r="X85" s="42"/>
      <c r="Y85" s="42"/>
      <c r="Z85" s="42"/>
      <c r="AA85" s="42"/>
      <c r="AB85" s="42"/>
      <c r="AC85" s="49"/>
      <c r="AD85" s="50"/>
      <c r="AE85" s="49"/>
      <c r="AF85" s="50"/>
      <c r="AG85" s="49"/>
      <c r="AH85" s="50"/>
      <c r="AI85" s="50"/>
      <c r="AJ85" s="49"/>
      <c r="AK85" s="50"/>
      <c r="AL85" s="42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</row>
    <row r="86" spans="1:53" x14ac:dyDescent="0.15">
      <c r="A86" s="29">
        <v>115</v>
      </c>
      <c r="B86" s="30" t="s">
        <v>148</v>
      </c>
      <c r="C86" s="30" t="s">
        <v>133</v>
      </c>
      <c r="D86" s="30" t="s">
        <v>35</v>
      </c>
      <c r="E86" s="30" t="s">
        <v>36</v>
      </c>
      <c r="F86" s="35" t="s">
        <v>37</v>
      </c>
      <c r="G86" s="31">
        <v>1</v>
      </c>
      <c r="H86" s="33" t="s">
        <v>22</v>
      </c>
      <c r="I86" s="33" t="s">
        <v>22</v>
      </c>
      <c r="J86" s="30" t="s">
        <v>47</v>
      </c>
      <c r="K86" s="35" t="s">
        <v>137</v>
      </c>
      <c r="L86" s="1">
        <v>8.2539999999999996</v>
      </c>
      <c r="M86" s="35" t="s">
        <v>137</v>
      </c>
      <c r="N86" s="1">
        <v>6.202</v>
      </c>
      <c r="O86" s="35" t="s">
        <v>137</v>
      </c>
      <c r="P86" s="29">
        <v>2.7519999999999998</v>
      </c>
      <c r="Q86" s="29">
        <v>2.8420000000000001</v>
      </c>
      <c r="R86" s="35" t="s">
        <v>137</v>
      </c>
      <c r="S86" s="27">
        <v>11.986000000000001</v>
      </c>
      <c r="T86" s="29">
        <f>COUNT(P80:P91)</f>
        <v>12</v>
      </c>
      <c r="V86" s="42"/>
      <c r="W86" s="42"/>
      <c r="X86" s="42"/>
      <c r="Y86" s="42"/>
      <c r="Z86" s="42"/>
      <c r="AA86" s="42"/>
      <c r="AB86" s="42"/>
      <c r="AC86" s="49"/>
      <c r="AD86" s="50"/>
      <c r="AE86" s="49"/>
      <c r="AF86" s="50"/>
      <c r="AG86" s="49"/>
      <c r="AH86" s="50"/>
      <c r="AI86" s="50"/>
      <c r="AJ86" s="49"/>
      <c r="AK86" s="50"/>
      <c r="AL86" s="42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</row>
    <row r="87" spans="1:53" x14ac:dyDescent="0.15">
      <c r="A87" s="29">
        <v>116</v>
      </c>
      <c r="B87" s="30" t="s">
        <v>148</v>
      </c>
      <c r="C87" s="30" t="s">
        <v>133</v>
      </c>
      <c r="D87" s="30" t="s">
        <v>35</v>
      </c>
      <c r="E87" s="30" t="s">
        <v>36</v>
      </c>
      <c r="F87" s="35" t="s">
        <v>37</v>
      </c>
      <c r="G87" s="32">
        <v>2</v>
      </c>
      <c r="H87" s="33" t="s">
        <v>22</v>
      </c>
      <c r="I87" s="33" t="s">
        <v>22</v>
      </c>
      <c r="J87" s="30" t="s">
        <v>51</v>
      </c>
      <c r="K87" s="35" t="s">
        <v>137</v>
      </c>
      <c r="L87" s="1">
        <v>7.82</v>
      </c>
      <c r="M87" s="35" t="s">
        <v>137</v>
      </c>
      <c r="N87" s="1">
        <v>6.1989999999999998</v>
      </c>
      <c r="O87" s="35" t="s">
        <v>137</v>
      </c>
      <c r="P87" s="29">
        <v>2.6859999999999999</v>
      </c>
      <c r="Q87" s="29">
        <v>2.948</v>
      </c>
      <c r="R87" s="35" t="s">
        <v>137</v>
      </c>
      <c r="S87" s="27">
        <v>11.404</v>
      </c>
      <c r="T87" s="29">
        <f>COUNT(Q80:Q91)</f>
        <v>12</v>
      </c>
      <c r="V87" s="42"/>
      <c r="W87" s="42"/>
      <c r="X87" s="42"/>
      <c r="Y87" s="42"/>
      <c r="Z87" s="42"/>
      <c r="AA87" s="42"/>
      <c r="AB87" s="42"/>
      <c r="AC87" s="49"/>
      <c r="AD87" s="50"/>
      <c r="AE87" s="49"/>
      <c r="AF87" s="50"/>
      <c r="AG87" s="49"/>
      <c r="AH87" s="50"/>
      <c r="AI87" s="50"/>
      <c r="AJ87" s="49"/>
      <c r="AK87" s="50"/>
      <c r="AL87" s="42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</row>
    <row r="88" spans="1:53" x14ac:dyDescent="0.15">
      <c r="A88" s="29">
        <v>117</v>
      </c>
      <c r="B88" s="30" t="s">
        <v>148</v>
      </c>
      <c r="C88" s="30" t="s">
        <v>133</v>
      </c>
      <c r="D88" s="30" t="s">
        <v>35</v>
      </c>
      <c r="E88" s="30" t="s">
        <v>36</v>
      </c>
      <c r="F88" s="35" t="s">
        <v>37</v>
      </c>
      <c r="G88" s="34">
        <v>3</v>
      </c>
      <c r="H88" s="33" t="s">
        <v>22</v>
      </c>
      <c r="I88" s="33" t="s">
        <v>22</v>
      </c>
      <c r="J88" s="30" t="s">
        <v>41</v>
      </c>
      <c r="K88" s="35" t="s">
        <v>137</v>
      </c>
      <c r="L88" s="1">
        <v>7.7649999999999997</v>
      </c>
      <c r="M88" s="35" t="s">
        <v>137</v>
      </c>
      <c r="N88" s="1">
        <v>6.45</v>
      </c>
      <c r="O88" s="35" t="s">
        <v>137</v>
      </c>
      <c r="P88" s="29">
        <v>2.5499999999999998</v>
      </c>
      <c r="Q88" s="29">
        <v>2.641</v>
      </c>
      <c r="R88" s="35" t="s">
        <v>137</v>
      </c>
      <c r="S88" s="27">
        <v>11.07</v>
      </c>
      <c r="T88" s="29">
        <f>COUNT(R80:R91)</f>
        <v>0</v>
      </c>
      <c r="V88" s="42"/>
      <c r="W88" s="42"/>
      <c r="X88" s="42"/>
      <c r="Y88" s="42"/>
      <c r="Z88" s="42"/>
      <c r="AA88" s="42"/>
      <c r="AB88" s="42"/>
      <c r="AC88" s="49"/>
      <c r="AD88" s="50"/>
      <c r="AE88" s="49"/>
      <c r="AF88" s="50"/>
      <c r="AG88" s="49"/>
      <c r="AH88" s="50"/>
      <c r="AI88" s="50"/>
      <c r="AJ88" s="49"/>
      <c r="AK88" s="50"/>
      <c r="AL88" s="42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</row>
    <row r="89" spans="1:53" x14ac:dyDescent="0.15">
      <c r="A89" s="29">
        <v>118</v>
      </c>
      <c r="B89" s="30" t="s">
        <v>148</v>
      </c>
      <c r="C89" s="30" t="s">
        <v>133</v>
      </c>
      <c r="D89" s="30" t="s">
        <v>35</v>
      </c>
      <c r="E89" s="30" t="s">
        <v>36</v>
      </c>
      <c r="F89" s="35" t="s">
        <v>37</v>
      </c>
      <c r="G89" s="31">
        <v>1</v>
      </c>
      <c r="H89" s="33" t="s">
        <v>22</v>
      </c>
      <c r="I89" s="33" t="s">
        <v>22</v>
      </c>
      <c r="J89" s="30" t="s">
        <v>29</v>
      </c>
      <c r="K89" s="35" t="s">
        <v>137</v>
      </c>
      <c r="L89" s="1">
        <v>8.0790000000000006</v>
      </c>
      <c r="M89" s="35" t="s">
        <v>137</v>
      </c>
      <c r="N89" s="1">
        <v>6.157</v>
      </c>
      <c r="O89" s="35" t="s">
        <v>137</v>
      </c>
      <c r="P89" s="29">
        <v>2.444</v>
      </c>
      <c r="Q89" s="29">
        <v>2.91</v>
      </c>
      <c r="R89" s="35" t="s">
        <v>137</v>
      </c>
      <c r="S89" s="27">
        <v>11.794</v>
      </c>
      <c r="T89" s="29">
        <f>COUNT(S80:S91)</f>
        <v>12</v>
      </c>
      <c r="V89" s="42"/>
      <c r="W89" s="42"/>
      <c r="X89" s="42"/>
      <c r="Y89" s="42"/>
      <c r="Z89" s="42"/>
      <c r="AA89" s="42"/>
      <c r="AB89" s="42"/>
      <c r="AC89" s="49"/>
      <c r="AD89" s="50"/>
      <c r="AE89" s="49"/>
      <c r="AF89" s="50"/>
      <c r="AG89" s="49"/>
      <c r="AH89" s="50"/>
      <c r="AI89" s="50"/>
      <c r="AJ89" s="49"/>
      <c r="AK89" s="50"/>
      <c r="AL89" s="42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</row>
    <row r="90" spans="1:53" x14ac:dyDescent="0.15">
      <c r="A90" s="29">
        <v>119</v>
      </c>
      <c r="B90" s="30" t="s">
        <v>148</v>
      </c>
      <c r="C90" s="30" t="s">
        <v>133</v>
      </c>
      <c r="D90" s="30" t="s">
        <v>35</v>
      </c>
      <c r="E90" s="30" t="s">
        <v>36</v>
      </c>
      <c r="F90" s="35" t="s">
        <v>37</v>
      </c>
      <c r="G90" s="32">
        <v>2</v>
      </c>
      <c r="H90" s="33" t="s">
        <v>22</v>
      </c>
      <c r="I90" s="33" t="s">
        <v>22</v>
      </c>
      <c r="J90" s="30" t="s">
        <v>30</v>
      </c>
      <c r="K90" s="35" t="s">
        <v>137</v>
      </c>
      <c r="L90" s="1">
        <v>8.0079999999999991</v>
      </c>
      <c r="M90" s="35" t="s">
        <v>137</v>
      </c>
      <c r="N90" s="1">
        <v>6.0129999999999999</v>
      </c>
      <c r="O90" s="35" t="s">
        <v>137</v>
      </c>
      <c r="P90" s="29">
        <v>2.6789999999999998</v>
      </c>
      <c r="Q90" s="29">
        <v>2.7349999999999999</v>
      </c>
      <c r="R90" s="35" t="s">
        <v>137</v>
      </c>
      <c r="S90" s="27">
        <v>11.577999999999999</v>
      </c>
      <c r="T90" s="29">
        <f>T80-SUM(T81:T89)</f>
        <v>0</v>
      </c>
      <c r="V90" s="42"/>
      <c r="W90" s="42"/>
      <c r="X90" s="42"/>
      <c r="Y90" s="42"/>
      <c r="Z90" s="42"/>
      <c r="AA90" s="42"/>
      <c r="AB90" s="42"/>
      <c r="AC90" s="49"/>
      <c r="AD90" s="50"/>
      <c r="AE90" s="49"/>
      <c r="AF90" s="50"/>
      <c r="AG90" s="49"/>
      <c r="AH90" s="50"/>
      <c r="AI90" s="50"/>
      <c r="AJ90" s="49"/>
      <c r="AK90" s="50"/>
      <c r="AL90" s="42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</row>
    <row r="91" spans="1:53" x14ac:dyDescent="0.15">
      <c r="A91" s="29">
        <v>120</v>
      </c>
      <c r="B91" s="30" t="s">
        <v>148</v>
      </c>
      <c r="C91" s="30" t="s">
        <v>133</v>
      </c>
      <c r="D91" s="30" t="s">
        <v>35</v>
      </c>
      <c r="E91" s="30" t="s">
        <v>36</v>
      </c>
      <c r="F91" s="35" t="s">
        <v>37</v>
      </c>
      <c r="G91" s="34">
        <v>3</v>
      </c>
      <c r="H91" s="33" t="s">
        <v>22</v>
      </c>
      <c r="I91" s="33" t="s">
        <v>22</v>
      </c>
      <c r="J91" s="30" t="s">
        <v>42</v>
      </c>
      <c r="K91" s="35" t="s">
        <v>137</v>
      </c>
      <c r="L91" s="1">
        <v>7.6710000000000003</v>
      </c>
      <c r="M91" s="35" t="s">
        <v>137</v>
      </c>
      <c r="N91" s="1">
        <v>6.2119999999999997</v>
      </c>
      <c r="O91" s="35" t="s">
        <v>137</v>
      </c>
      <c r="P91" s="29">
        <v>2.577</v>
      </c>
      <c r="Q91" s="29">
        <v>2.7549999999999999</v>
      </c>
      <c r="R91" s="35" t="s">
        <v>137</v>
      </c>
      <c r="S91" s="27">
        <v>11.279</v>
      </c>
      <c r="T91" s="29">
        <v>9999</v>
      </c>
      <c r="V91" s="42"/>
      <c r="W91" s="42"/>
      <c r="X91" s="42"/>
      <c r="Y91" s="42"/>
      <c r="Z91" s="42"/>
      <c r="AA91" s="42"/>
      <c r="AB91" s="42"/>
      <c r="AC91" s="49"/>
      <c r="AD91" s="50"/>
      <c r="AE91" s="49"/>
      <c r="AF91" s="50"/>
      <c r="AG91" s="49"/>
      <c r="AH91" s="50"/>
      <c r="AI91" s="50"/>
      <c r="AJ91" s="49"/>
      <c r="AK91" s="50"/>
      <c r="AL91" s="42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</row>
    <row r="92" spans="1:53" s="26" customFormat="1" x14ac:dyDescent="0.2">
      <c r="A92" s="21"/>
      <c r="U92" s="25"/>
      <c r="V92" s="42"/>
      <c r="W92" s="42"/>
      <c r="X92" s="42"/>
      <c r="Y92" s="42"/>
      <c r="Z92" s="42"/>
      <c r="AA92" s="42"/>
      <c r="AB92" s="42"/>
      <c r="AC92" s="49"/>
      <c r="AD92" s="50"/>
      <c r="AE92" s="49"/>
      <c r="AF92" s="50"/>
      <c r="AG92" s="49"/>
      <c r="AH92" s="50"/>
      <c r="AI92" s="50"/>
      <c r="AJ92" s="49"/>
      <c r="AK92" s="50"/>
      <c r="AL92" s="42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</row>
    <row r="93" spans="1:53" x14ac:dyDescent="0.2">
      <c r="A93" s="29">
        <v>181</v>
      </c>
      <c r="B93" s="29" t="s">
        <v>168</v>
      </c>
      <c r="C93" s="29" t="s">
        <v>78</v>
      </c>
      <c r="D93" s="29" t="s">
        <v>35</v>
      </c>
      <c r="E93" s="29" t="s">
        <v>36</v>
      </c>
      <c r="F93" s="29" t="s">
        <v>37</v>
      </c>
      <c r="G93" s="36">
        <v>1</v>
      </c>
      <c r="H93" s="40" t="s">
        <v>22</v>
      </c>
      <c r="I93" s="40" t="s">
        <v>22</v>
      </c>
      <c r="J93" s="29" t="s">
        <v>23</v>
      </c>
      <c r="K93" s="62" t="s">
        <v>137</v>
      </c>
      <c r="L93" s="63">
        <f>0.13+7.9169</f>
        <v>8.0469000000000008</v>
      </c>
      <c r="M93" s="62" t="s">
        <v>137</v>
      </c>
      <c r="N93" s="63">
        <f>0.13+5.9272</f>
        <v>6.0571999999999999</v>
      </c>
      <c r="O93" s="62" t="s">
        <v>137</v>
      </c>
      <c r="P93" s="63">
        <f>0.13+2.6377</f>
        <v>2.7677</v>
      </c>
      <c r="Q93" s="63">
        <f>0.13+2.8711</f>
        <v>3.0011000000000001</v>
      </c>
      <c r="R93" s="62" t="s">
        <v>137</v>
      </c>
      <c r="S93" s="63">
        <f>0.13+11.5983</f>
        <v>11.728300000000001</v>
      </c>
      <c r="T93" s="29">
        <f>COUNT(K93:S104)</f>
        <v>60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52"/>
      <c r="AG93" s="53"/>
      <c r="AH93" s="52"/>
      <c r="AI93" s="53"/>
      <c r="AJ93" s="52"/>
      <c r="AK93" s="53"/>
      <c r="AL93" s="53"/>
      <c r="AM93" s="52"/>
      <c r="AN93" s="53"/>
      <c r="AO93" s="42"/>
      <c r="AP93" s="49"/>
      <c r="AQ93" s="49"/>
      <c r="AR93" s="51"/>
      <c r="AS93" s="51"/>
      <c r="AT93" s="51"/>
      <c r="AU93" s="51"/>
      <c r="AV93" s="51"/>
      <c r="AW93" s="51"/>
      <c r="AX93" s="51"/>
      <c r="AY93" s="51"/>
      <c r="AZ93" s="51"/>
      <c r="BA93" s="51"/>
    </row>
    <row r="94" spans="1:53" x14ac:dyDescent="0.2">
      <c r="A94" s="29">
        <v>182</v>
      </c>
      <c r="B94" s="29" t="s">
        <v>168</v>
      </c>
      <c r="C94" s="29" t="s">
        <v>78</v>
      </c>
      <c r="D94" s="29" t="s">
        <v>35</v>
      </c>
      <c r="E94" s="29" t="s">
        <v>36</v>
      </c>
      <c r="F94" s="29" t="s">
        <v>37</v>
      </c>
      <c r="G94" s="39">
        <v>2</v>
      </c>
      <c r="H94" s="40" t="s">
        <v>22</v>
      </c>
      <c r="I94" s="40" t="s">
        <v>22</v>
      </c>
      <c r="J94" s="29" t="s">
        <v>24</v>
      </c>
      <c r="K94" s="62" t="s">
        <v>137</v>
      </c>
      <c r="L94" s="63">
        <f>0.13+7.4793</f>
        <v>7.6093000000000002</v>
      </c>
      <c r="M94" s="62" t="s">
        <v>137</v>
      </c>
      <c r="N94" s="63">
        <f>0.13+5.9911</f>
        <v>6.1211000000000002</v>
      </c>
      <c r="O94" s="62" t="s">
        <v>137</v>
      </c>
      <c r="P94" s="63">
        <f>0.13+2.3838</f>
        <v>2.5137999999999998</v>
      </c>
      <c r="Q94" s="63">
        <f>0.13+2.7579</f>
        <v>2.8878999999999997</v>
      </c>
      <c r="R94" s="62" t="s">
        <v>137</v>
      </c>
      <c r="S94" s="63">
        <f>0.13+11.0811</f>
        <v>11.2111</v>
      </c>
      <c r="T94" s="29">
        <f>COUNT(K93:K104)</f>
        <v>0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52"/>
      <c r="AG94" s="53"/>
      <c r="AH94" s="52"/>
      <c r="AI94" s="53"/>
      <c r="AJ94" s="52"/>
      <c r="AK94" s="53"/>
      <c r="AL94" s="53"/>
      <c r="AM94" s="52"/>
      <c r="AN94" s="53"/>
      <c r="AO94" s="42"/>
      <c r="AP94" s="49"/>
      <c r="AQ94" s="49"/>
      <c r="AR94" s="51"/>
      <c r="AS94" s="51"/>
      <c r="AT94" s="51"/>
      <c r="AU94" s="51"/>
      <c r="AV94" s="51"/>
      <c r="AW94" s="51"/>
      <c r="AX94" s="51"/>
      <c r="AY94" s="51"/>
      <c r="AZ94" s="51"/>
      <c r="BA94" s="51"/>
    </row>
    <row r="95" spans="1:53" x14ac:dyDescent="0.2">
      <c r="A95" s="29">
        <v>183</v>
      </c>
      <c r="B95" s="29" t="s">
        <v>168</v>
      </c>
      <c r="C95" s="29" t="s">
        <v>78</v>
      </c>
      <c r="D95" s="29" t="s">
        <v>35</v>
      </c>
      <c r="E95" s="29" t="s">
        <v>36</v>
      </c>
      <c r="F95" s="29" t="s">
        <v>37</v>
      </c>
      <c r="G95" s="41">
        <v>3</v>
      </c>
      <c r="H95" s="40" t="s">
        <v>22</v>
      </c>
      <c r="I95" s="40" t="s">
        <v>22</v>
      </c>
      <c r="J95" s="29" t="s">
        <v>45</v>
      </c>
      <c r="K95" s="62" t="s">
        <v>137</v>
      </c>
      <c r="L95" s="63">
        <f>0.13+7.5807</f>
        <v>7.7107000000000001</v>
      </c>
      <c r="M95" s="62" t="s">
        <v>137</v>
      </c>
      <c r="N95" s="63">
        <f>0.13+6.1834</f>
        <v>6.3133999999999997</v>
      </c>
      <c r="O95" s="62" t="s">
        <v>137</v>
      </c>
      <c r="P95" s="63">
        <f>0.13+2.5835</f>
        <v>2.7134999999999998</v>
      </c>
      <c r="Q95" s="63">
        <f>0.13+2.6848</f>
        <v>2.8148</v>
      </c>
      <c r="R95" s="62" t="s">
        <v>137</v>
      </c>
      <c r="S95" s="63">
        <f>0.13+11.1386</f>
        <v>11.268600000000001</v>
      </c>
      <c r="T95" s="29">
        <f>COUNT(L93:L104)</f>
        <v>12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52"/>
      <c r="AG95" s="53"/>
      <c r="AH95" s="52"/>
      <c r="AI95" s="53"/>
      <c r="AJ95" s="52"/>
      <c r="AK95" s="53"/>
      <c r="AL95" s="53"/>
      <c r="AM95" s="52"/>
      <c r="AN95" s="53"/>
      <c r="AO95" s="42"/>
      <c r="AP95" s="49"/>
      <c r="AQ95" s="49"/>
      <c r="AR95" s="51"/>
      <c r="AS95" s="51"/>
      <c r="AT95" s="51"/>
      <c r="AU95" s="51"/>
      <c r="AV95" s="51"/>
      <c r="AW95" s="51"/>
      <c r="AX95" s="51"/>
      <c r="AY95" s="51"/>
      <c r="AZ95" s="51"/>
      <c r="BA95" s="51"/>
    </row>
    <row r="96" spans="1:53" x14ac:dyDescent="0.2">
      <c r="A96" s="29">
        <v>184</v>
      </c>
      <c r="B96" s="29" t="s">
        <v>168</v>
      </c>
      <c r="C96" s="29" t="s">
        <v>78</v>
      </c>
      <c r="D96" s="29" t="s">
        <v>35</v>
      </c>
      <c r="E96" s="29" t="s">
        <v>36</v>
      </c>
      <c r="F96" s="29" t="s">
        <v>37</v>
      </c>
      <c r="G96" s="36">
        <v>1</v>
      </c>
      <c r="H96" s="40" t="s">
        <v>22</v>
      </c>
      <c r="I96" s="40" t="s">
        <v>22</v>
      </c>
      <c r="J96" s="29" t="s">
        <v>59</v>
      </c>
      <c r="K96" s="62" t="s">
        <v>137</v>
      </c>
      <c r="L96" s="63">
        <f>0.13+7.9586</f>
        <v>8.0885999999999996</v>
      </c>
      <c r="M96" s="62" t="s">
        <v>137</v>
      </c>
      <c r="N96" s="63">
        <f>0.13+6.0918</f>
        <v>6.2218</v>
      </c>
      <c r="O96" s="62" t="s">
        <v>137</v>
      </c>
      <c r="P96" s="63">
        <f>0.13+2.2995</f>
        <v>2.4295</v>
      </c>
      <c r="Q96" s="63">
        <f>0.13+2.8475</f>
        <v>2.9775</v>
      </c>
      <c r="R96" s="62" t="s">
        <v>137</v>
      </c>
      <c r="S96" s="63">
        <f>0.13+11.7907</f>
        <v>11.9207</v>
      </c>
      <c r="T96" s="29">
        <f>COUNT(M93:M104)</f>
        <v>0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52"/>
      <c r="AG96" s="53"/>
      <c r="AH96" s="52"/>
      <c r="AI96" s="53"/>
      <c r="AJ96" s="52"/>
      <c r="AK96" s="53"/>
      <c r="AL96" s="53"/>
      <c r="AM96" s="52"/>
      <c r="AN96" s="53"/>
      <c r="AO96" s="42"/>
      <c r="AP96" s="49"/>
      <c r="AQ96" s="49"/>
      <c r="AR96" s="51"/>
      <c r="AS96" s="51"/>
      <c r="AT96" s="51"/>
      <c r="AU96" s="51"/>
      <c r="AV96" s="51"/>
      <c r="AW96" s="51"/>
      <c r="AX96" s="51"/>
      <c r="AY96" s="51"/>
      <c r="AZ96" s="51"/>
      <c r="BA96" s="51"/>
    </row>
    <row r="97" spans="1:53" x14ac:dyDescent="0.2">
      <c r="A97" s="29">
        <v>185</v>
      </c>
      <c r="B97" s="29" t="s">
        <v>168</v>
      </c>
      <c r="C97" s="29" t="s">
        <v>78</v>
      </c>
      <c r="D97" s="29" t="s">
        <v>35</v>
      </c>
      <c r="E97" s="29" t="s">
        <v>36</v>
      </c>
      <c r="F97" s="29" t="s">
        <v>37</v>
      </c>
      <c r="G97" s="39">
        <v>2</v>
      </c>
      <c r="H97" s="40" t="s">
        <v>22</v>
      </c>
      <c r="I97" s="40" t="s">
        <v>22</v>
      </c>
      <c r="J97" s="29" t="s">
        <v>25</v>
      </c>
      <c r="K97" s="62" t="s">
        <v>137</v>
      </c>
      <c r="L97" s="63">
        <f>0.13+7.8969</f>
        <v>8.0268999999999995</v>
      </c>
      <c r="M97" s="62" t="s">
        <v>137</v>
      </c>
      <c r="N97" s="63">
        <f>0.13+6.1774</f>
        <v>6.3073999999999995</v>
      </c>
      <c r="O97" s="62" t="s">
        <v>137</v>
      </c>
      <c r="P97" s="63">
        <f>0.13+2.5963</f>
        <v>2.7262999999999997</v>
      </c>
      <c r="Q97" s="63">
        <f>0.13+2.7522</f>
        <v>2.8822000000000001</v>
      </c>
      <c r="R97" s="62" t="s">
        <v>137</v>
      </c>
      <c r="S97" s="63">
        <f>0.13+11.215</f>
        <v>11.345000000000001</v>
      </c>
      <c r="T97" s="29">
        <f>COUNT(N93:N104)</f>
        <v>12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52"/>
      <c r="AG97" s="53"/>
      <c r="AH97" s="52"/>
      <c r="AI97" s="53"/>
      <c r="AJ97" s="52"/>
      <c r="AK97" s="53"/>
      <c r="AL97" s="53"/>
      <c r="AM97" s="52"/>
      <c r="AN97" s="53"/>
      <c r="AO97" s="42"/>
      <c r="AP97" s="49"/>
      <c r="AQ97" s="49"/>
      <c r="AR97" s="51"/>
      <c r="AS97" s="51"/>
      <c r="AT97" s="51"/>
      <c r="AU97" s="51"/>
      <c r="AV97" s="51"/>
      <c r="AW97" s="51"/>
      <c r="AX97" s="51"/>
      <c r="AY97" s="51"/>
      <c r="AZ97" s="51"/>
      <c r="BA97" s="51"/>
    </row>
    <row r="98" spans="1:53" x14ac:dyDescent="0.2">
      <c r="A98" s="29">
        <v>186</v>
      </c>
      <c r="B98" s="29" t="s">
        <v>168</v>
      </c>
      <c r="C98" s="29" t="s">
        <v>78</v>
      </c>
      <c r="D98" s="29" t="s">
        <v>35</v>
      </c>
      <c r="E98" s="29" t="s">
        <v>36</v>
      </c>
      <c r="F98" s="29" t="s">
        <v>37</v>
      </c>
      <c r="G98" s="41">
        <v>3</v>
      </c>
      <c r="H98" s="40" t="s">
        <v>22</v>
      </c>
      <c r="I98" s="40" t="s">
        <v>22</v>
      </c>
      <c r="J98" s="29" t="s">
        <v>27</v>
      </c>
      <c r="K98" s="62" t="s">
        <v>137</v>
      </c>
      <c r="L98" s="63">
        <f>0.13+7.5659</f>
        <v>7.6959</v>
      </c>
      <c r="M98" s="62" t="s">
        <v>137</v>
      </c>
      <c r="N98" s="63">
        <f>0.13+6.3636</f>
        <v>6.4935999999999998</v>
      </c>
      <c r="O98" s="62" t="s">
        <v>137</v>
      </c>
      <c r="P98" s="63">
        <f>0.13+2.359</f>
        <v>2.4889999999999999</v>
      </c>
      <c r="Q98" s="63">
        <f>0.13+2.9585</f>
        <v>3.0884999999999998</v>
      </c>
      <c r="R98" s="62" t="s">
        <v>137</v>
      </c>
      <c r="S98" s="63">
        <f>0.13+11.1255</f>
        <v>11.255500000000001</v>
      </c>
      <c r="T98" s="29">
        <f>COUNT(O93:O104)</f>
        <v>0</v>
      </c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52"/>
      <c r="AG98" s="53"/>
      <c r="AH98" s="52"/>
      <c r="AI98" s="53"/>
      <c r="AJ98" s="52"/>
      <c r="AK98" s="53"/>
      <c r="AL98" s="53"/>
      <c r="AM98" s="52"/>
      <c r="AN98" s="53"/>
      <c r="AO98" s="42"/>
      <c r="AP98" s="49"/>
      <c r="AQ98" s="49"/>
      <c r="AR98" s="51"/>
      <c r="AS98" s="51"/>
      <c r="AT98" s="51"/>
      <c r="AU98" s="51"/>
      <c r="AV98" s="51"/>
      <c r="AW98" s="51"/>
      <c r="AX98" s="51"/>
      <c r="AY98" s="51"/>
      <c r="AZ98" s="51"/>
      <c r="BA98" s="51"/>
    </row>
    <row r="99" spans="1:53" x14ac:dyDescent="0.2">
      <c r="A99" s="29">
        <v>187</v>
      </c>
      <c r="B99" s="29" t="s">
        <v>168</v>
      </c>
      <c r="C99" s="29" t="s">
        <v>78</v>
      </c>
      <c r="D99" s="29" t="s">
        <v>35</v>
      </c>
      <c r="E99" s="29" t="s">
        <v>36</v>
      </c>
      <c r="F99" s="29" t="s">
        <v>37</v>
      </c>
      <c r="G99" s="36">
        <v>1</v>
      </c>
      <c r="H99" s="40" t="s">
        <v>22</v>
      </c>
      <c r="I99" s="40" t="s">
        <v>22</v>
      </c>
      <c r="J99" s="29" t="s">
        <v>38</v>
      </c>
      <c r="K99" s="62" t="s">
        <v>137</v>
      </c>
      <c r="L99" s="63">
        <f>0.13+8.0277</f>
        <v>8.1577000000000002</v>
      </c>
      <c r="M99" s="62" t="s">
        <v>137</v>
      </c>
      <c r="N99" s="63">
        <f>0.13+6.0702</f>
        <v>6.2001999999999997</v>
      </c>
      <c r="O99" s="62" t="s">
        <v>137</v>
      </c>
      <c r="P99" s="63">
        <f>0.13+2.5138</f>
        <v>2.6437999999999997</v>
      </c>
      <c r="Q99" s="63">
        <f>0.13+2.8899</f>
        <v>3.0198999999999998</v>
      </c>
      <c r="R99" s="62" t="s">
        <v>137</v>
      </c>
      <c r="S99" s="63">
        <f>0.13+11.8266</f>
        <v>11.9566</v>
      </c>
      <c r="T99" s="29">
        <f>COUNT(P93:P104)</f>
        <v>12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52"/>
      <c r="AG99" s="53"/>
      <c r="AH99" s="52"/>
      <c r="AI99" s="53"/>
      <c r="AJ99" s="52"/>
      <c r="AK99" s="53"/>
      <c r="AL99" s="53"/>
      <c r="AM99" s="52"/>
      <c r="AN99" s="53"/>
      <c r="AO99" s="42"/>
      <c r="AP99" s="49"/>
      <c r="AQ99" s="49"/>
      <c r="AR99" s="51"/>
      <c r="AS99" s="51"/>
      <c r="AT99" s="51"/>
      <c r="AU99" s="51"/>
      <c r="AV99" s="51"/>
      <c r="AW99" s="51"/>
      <c r="AX99" s="51"/>
      <c r="AY99" s="51"/>
      <c r="AZ99" s="51"/>
      <c r="BA99" s="51"/>
    </row>
    <row r="100" spans="1:53" x14ac:dyDescent="0.2">
      <c r="A100" s="29">
        <v>188</v>
      </c>
      <c r="B100" s="29" t="s">
        <v>168</v>
      </c>
      <c r="C100" s="29" t="s">
        <v>78</v>
      </c>
      <c r="D100" s="29" t="s">
        <v>35</v>
      </c>
      <c r="E100" s="29" t="s">
        <v>36</v>
      </c>
      <c r="F100" s="29" t="s">
        <v>37</v>
      </c>
      <c r="G100" s="39">
        <v>2</v>
      </c>
      <c r="H100" s="40" t="s">
        <v>22</v>
      </c>
      <c r="I100" s="40" t="s">
        <v>22</v>
      </c>
      <c r="J100" s="29" t="s">
        <v>39</v>
      </c>
      <c r="K100" s="62" t="s">
        <v>137</v>
      </c>
      <c r="L100" s="63">
        <f>0.13+7.8463</f>
        <v>7.9763000000000002</v>
      </c>
      <c r="M100" s="62" t="s">
        <v>137</v>
      </c>
      <c r="N100" s="63">
        <f>0.13+5.9173</f>
        <v>6.0472999999999999</v>
      </c>
      <c r="O100" s="62" t="s">
        <v>137</v>
      </c>
      <c r="P100" s="63">
        <f>0.13+2.5157</f>
        <v>2.6456999999999997</v>
      </c>
      <c r="Q100" s="63">
        <f>0.13+2.872</f>
        <v>3.0019999999999998</v>
      </c>
      <c r="R100" s="62" t="s">
        <v>137</v>
      </c>
      <c r="S100" s="63">
        <f>0.13+11.3626</f>
        <v>11.492600000000001</v>
      </c>
      <c r="T100" s="29">
        <f>COUNT(Q93:Q104)</f>
        <v>12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52"/>
      <c r="AG100" s="53"/>
      <c r="AH100" s="52"/>
      <c r="AI100" s="53"/>
      <c r="AJ100" s="52"/>
      <c r="AK100" s="53"/>
      <c r="AL100" s="53"/>
      <c r="AM100" s="52"/>
      <c r="AN100" s="53"/>
      <c r="AO100" s="42"/>
      <c r="AP100" s="49"/>
      <c r="AQ100" s="49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</row>
    <row r="101" spans="1:53" x14ac:dyDescent="0.2">
      <c r="A101" s="29">
        <v>189</v>
      </c>
      <c r="B101" s="29" t="s">
        <v>168</v>
      </c>
      <c r="C101" s="29" t="s">
        <v>78</v>
      </c>
      <c r="D101" s="29" t="s">
        <v>35</v>
      </c>
      <c r="E101" s="29" t="s">
        <v>36</v>
      </c>
      <c r="F101" s="29" t="s">
        <v>37</v>
      </c>
      <c r="G101" s="41">
        <v>3</v>
      </c>
      <c r="H101" s="40" t="s">
        <v>22</v>
      </c>
      <c r="I101" s="40" t="s">
        <v>22</v>
      </c>
      <c r="J101" s="29" t="s">
        <v>40</v>
      </c>
      <c r="K101" s="62" t="s">
        <v>137</v>
      </c>
      <c r="L101" s="63">
        <f>0.13+7.603</f>
        <v>7.7329999999999997</v>
      </c>
      <c r="M101" s="62" t="s">
        <v>137</v>
      </c>
      <c r="N101" s="63">
        <f>0.13+6.2153</f>
        <v>6.3452999999999999</v>
      </c>
      <c r="O101" s="62" t="s">
        <v>137</v>
      </c>
      <c r="P101" s="63">
        <f>0.13+2.3587</f>
        <v>2.4886999999999997</v>
      </c>
      <c r="Q101" s="63">
        <f>0.13+2.5124</f>
        <v>2.6423999999999999</v>
      </c>
      <c r="R101" s="62" t="s">
        <v>137</v>
      </c>
      <c r="S101" s="63">
        <f>0.13+11.1032</f>
        <v>11.2332</v>
      </c>
      <c r="T101" s="29">
        <f>COUNT(R93:R104)</f>
        <v>0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52"/>
      <c r="AG101" s="53"/>
      <c r="AH101" s="52"/>
      <c r="AI101" s="53"/>
      <c r="AJ101" s="52"/>
      <c r="AK101" s="53"/>
      <c r="AL101" s="53"/>
      <c r="AM101" s="52"/>
      <c r="AN101" s="53"/>
      <c r="AO101" s="42"/>
      <c r="AP101" s="49"/>
      <c r="AQ101" s="49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</row>
    <row r="102" spans="1:53" x14ac:dyDescent="0.2">
      <c r="A102" s="29">
        <v>190</v>
      </c>
      <c r="B102" s="29" t="s">
        <v>168</v>
      </c>
      <c r="C102" s="29" t="s">
        <v>78</v>
      </c>
      <c r="D102" s="29" t="s">
        <v>35</v>
      </c>
      <c r="E102" s="29" t="s">
        <v>36</v>
      </c>
      <c r="F102" s="29" t="s">
        <v>37</v>
      </c>
      <c r="G102" s="36">
        <v>1</v>
      </c>
      <c r="H102" s="40" t="s">
        <v>22</v>
      </c>
      <c r="I102" s="40" t="s">
        <v>22</v>
      </c>
      <c r="J102" s="29" t="s">
        <v>29</v>
      </c>
      <c r="K102" s="62" t="s">
        <v>137</v>
      </c>
      <c r="L102" s="63">
        <f>0.13+8.0649</f>
        <v>8.1949000000000005</v>
      </c>
      <c r="M102" s="62" t="s">
        <v>137</v>
      </c>
      <c r="N102" s="63">
        <f>0.13+5.9855</f>
        <v>6.1154999999999999</v>
      </c>
      <c r="O102" s="62" t="s">
        <v>137</v>
      </c>
      <c r="P102" s="63">
        <f>0.13+2.6158</f>
        <v>2.7458</v>
      </c>
      <c r="Q102" s="63">
        <f>0.13+2.8551</f>
        <v>2.9851000000000001</v>
      </c>
      <c r="R102" s="62" t="s">
        <v>137</v>
      </c>
      <c r="S102" s="63">
        <f>0.13+11.347</f>
        <v>11.477</v>
      </c>
      <c r="T102" s="29">
        <f>COUNT(S93:S104)</f>
        <v>12</v>
      </c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52"/>
      <c r="AG102" s="53"/>
      <c r="AH102" s="52"/>
      <c r="AI102" s="53"/>
      <c r="AJ102" s="52"/>
      <c r="AK102" s="53"/>
      <c r="AL102" s="53"/>
      <c r="AM102" s="52"/>
      <c r="AN102" s="53"/>
      <c r="AO102" s="42"/>
      <c r="AP102" s="49"/>
      <c r="AQ102" s="49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</row>
    <row r="103" spans="1:53" x14ac:dyDescent="0.2">
      <c r="A103" s="29">
        <v>191</v>
      </c>
      <c r="B103" s="29" t="s">
        <v>168</v>
      </c>
      <c r="C103" s="29" t="s">
        <v>78</v>
      </c>
      <c r="D103" s="29" t="s">
        <v>35</v>
      </c>
      <c r="E103" s="29" t="s">
        <v>36</v>
      </c>
      <c r="F103" s="29" t="s">
        <v>37</v>
      </c>
      <c r="G103" s="39">
        <v>2</v>
      </c>
      <c r="H103" s="40" t="s">
        <v>22</v>
      </c>
      <c r="I103" s="40" t="s">
        <v>22</v>
      </c>
      <c r="J103" s="29" t="s">
        <v>30</v>
      </c>
      <c r="K103" s="62" t="s">
        <v>137</v>
      </c>
      <c r="L103" s="63">
        <f>0.13+7.8354</f>
        <v>7.9653999999999998</v>
      </c>
      <c r="M103" s="62" t="s">
        <v>137</v>
      </c>
      <c r="N103" s="63">
        <f>0.13+5.9622</f>
        <v>6.0922000000000001</v>
      </c>
      <c r="O103" s="62" t="s">
        <v>137</v>
      </c>
      <c r="P103" s="63">
        <f>0.13+2.3824</f>
        <v>2.5124</v>
      </c>
      <c r="Q103" s="63">
        <f>0.13+2.659</f>
        <v>2.7889999999999997</v>
      </c>
      <c r="R103" s="62" t="s">
        <v>137</v>
      </c>
      <c r="S103" s="63">
        <f>0.13+11.2095</f>
        <v>11.339500000000001</v>
      </c>
      <c r="T103" s="29">
        <f>T93-SUM(T94:T102)</f>
        <v>0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52"/>
      <c r="AG103" s="53"/>
      <c r="AH103" s="52"/>
      <c r="AI103" s="53"/>
      <c r="AJ103" s="52"/>
      <c r="AK103" s="53"/>
      <c r="AL103" s="53"/>
      <c r="AM103" s="52"/>
      <c r="AN103" s="53"/>
      <c r="AO103" s="42"/>
      <c r="AP103" s="49"/>
      <c r="AQ103" s="49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</row>
    <row r="104" spans="1:53" x14ac:dyDescent="0.2">
      <c r="A104" s="29">
        <v>192</v>
      </c>
      <c r="B104" s="29" t="s">
        <v>168</v>
      </c>
      <c r="C104" s="29" t="s">
        <v>78</v>
      </c>
      <c r="D104" s="29" t="s">
        <v>35</v>
      </c>
      <c r="E104" s="29" t="s">
        <v>36</v>
      </c>
      <c r="F104" s="29" t="s">
        <v>37</v>
      </c>
      <c r="G104" s="41">
        <v>3</v>
      </c>
      <c r="H104" s="40" t="s">
        <v>22</v>
      </c>
      <c r="I104" s="40" t="s">
        <v>22</v>
      </c>
      <c r="J104" s="29" t="s">
        <v>42</v>
      </c>
      <c r="K104" s="62" t="s">
        <v>137</v>
      </c>
      <c r="L104" s="63">
        <f>0.13+7.5041</f>
        <v>7.6341000000000001</v>
      </c>
      <c r="M104" s="62" t="s">
        <v>137</v>
      </c>
      <c r="N104" s="63">
        <f>0.13+5.9046</f>
        <v>6.0346000000000002</v>
      </c>
      <c r="O104" s="62" t="s">
        <v>137</v>
      </c>
      <c r="P104" s="63">
        <f>0.13+2.3837</f>
        <v>2.5137</v>
      </c>
      <c r="Q104" s="63">
        <f>0.13+2.6542</f>
        <v>2.7841999999999998</v>
      </c>
      <c r="R104" s="62" t="s">
        <v>137</v>
      </c>
      <c r="S104" s="63">
        <f>0.13+10.6856</f>
        <v>10.815600000000002</v>
      </c>
      <c r="T104" s="29">
        <v>9999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52"/>
      <c r="AG104" s="53"/>
      <c r="AH104" s="52"/>
      <c r="AI104" s="53"/>
      <c r="AJ104" s="52"/>
      <c r="AK104" s="53"/>
      <c r="AL104" s="53"/>
      <c r="AM104" s="52"/>
      <c r="AN104" s="53"/>
      <c r="AO104" s="42"/>
      <c r="AP104" s="49"/>
      <c r="AQ104" s="49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</row>
    <row r="105" spans="1:53" s="26" customForma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47"/>
      <c r="L105" s="48"/>
      <c r="M105" s="47"/>
      <c r="N105" s="48"/>
      <c r="O105" s="47"/>
      <c r="P105" s="48"/>
      <c r="Q105" s="48"/>
      <c r="R105" s="47"/>
      <c r="S105" s="48"/>
      <c r="T105" s="21"/>
      <c r="U105" s="25"/>
      <c r="V105" s="42"/>
      <c r="W105" s="42"/>
      <c r="X105" s="42"/>
      <c r="Y105" s="42"/>
      <c r="Z105" s="42"/>
      <c r="AA105" s="42"/>
      <c r="AB105" s="42"/>
      <c r="AC105" s="49"/>
      <c r="AD105" s="50"/>
      <c r="AE105" s="49"/>
      <c r="AF105" s="50"/>
      <c r="AG105" s="49"/>
      <c r="AH105" s="50"/>
      <c r="AI105" s="50"/>
      <c r="AJ105" s="49"/>
      <c r="AK105" s="50"/>
      <c r="AL105" s="42"/>
      <c r="AM105" s="42"/>
      <c r="AN105" s="49"/>
      <c r="AO105" s="49"/>
      <c r="AP105" s="49"/>
      <c r="AQ105" s="49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</row>
    <row r="106" spans="1:53" x14ac:dyDescent="0.2">
      <c r="A106" s="29">
        <v>145</v>
      </c>
      <c r="B106" s="29" t="s">
        <v>64</v>
      </c>
      <c r="C106" s="29" t="s">
        <v>65</v>
      </c>
      <c r="D106" s="29" t="s">
        <v>35</v>
      </c>
      <c r="E106" s="29" t="s">
        <v>36</v>
      </c>
      <c r="F106" s="29" t="s">
        <v>37</v>
      </c>
      <c r="G106" s="36">
        <v>1</v>
      </c>
      <c r="H106" s="40" t="s">
        <v>22</v>
      </c>
      <c r="I106" s="40" t="s">
        <v>22</v>
      </c>
      <c r="J106" s="29" t="s">
        <v>24</v>
      </c>
      <c r="K106" s="28" t="s">
        <v>137</v>
      </c>
      <c r="L106" s="38">
        <v>8.048</v>
      </c>
      <c r="M106" s="28" t="s">
        <v>137</v>
      </c>
      <c r="N106" s="38">
        <v>6.0979999999999999</v>
      </c>
      <c r="O106" s="28" t="s">
        <v>137</v>
      </c>
      <c r="P106" s="38">
        <v>2.7839999999999998</v>
      </c>
      <c r="Q106" s="38">
        <v>3.0409999999999999</v>
      </c>
      <c r="R106" s="28" t="s">
        <v>137</v>
      </c>
      <c r="S106" s="38">
        <v>11.72</v>
      </c>
      <c r="T106" s="29">
        <f>COUNT(K106:S117)</f>
        <v>60</v>
      </c>
      <c r="V106" s="42"/>
      <c r="W106" s="42"/>
      <c r="X106" s="42"/>
      <c r="Y106" s="42"/>
      <c r="Z106" s="42"/>
      <c r="AA106" s="42"/>
      <c r="AB106" s="42"/>
      <c r="AC106" s="49"/>
      <c r="AD106" s="50"/>
      <c r="AE106" s="49"/>
      <c r="AF106" s="50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</row>
    <row r="107" spans="1:53" x14ac:dyDescent="0.2">
      <c r="A107" s="29">
        <v>146</v>
      </c>
      <c r="B107" s="29" t="s">
        <v>64</v>
      </c>
      <c r="C107" s="29" t="s">
        <v>65</v>
      </c>
      <c r="D107" s="29" t="s">
        <v>35</v>
      </c>
      <c r="E107" s="29" t="s">
        <v>36</v>
      </c>
      <c r="F107" s="29" t="s">
        <v>37</v>
      </c>
      <c r="G107" s="39">
        <v>2</v>
      </c>
      <c r="H107" s="40" t="s">
        <v>22</v>
      </c>
      <c r="I107" s="40" t="s">
        <v>22</v>
      </c>
      <c r="J107" s="29" t="s">
        <v>45</v>
      </c>
      <c r="K107" s="28" t="s">
        <v>137</v>
      </c>
      <c r="L107" s="38">
        <v>7.6449999999999996</v>
      </c>
      <c r="M107" s="28" t="s">
        <v>137</v>
      </c>
      <c r="N107" s="38">
        <v>6.1479999999999997</v>
      </c>
      <c r="O107" s="28" t="s">
        <v>137</v>
      </c>
      <c r="P107" s="38">
        <v>2.5880000000000001</v>
      </c>
      <c r="Q107" s="38">
        <v>2.88</v>
      </c>
      <c r="R107" s="28" t="s">
        <v>137</v>
      </c>
      <c r="S107" s="38">
        <v>11.36</v>
      </c>
      <c r="T107" s="29">
        <f>COUNT(K106:K117)</f>
        <v>0</v>
      </c>
      <c r="V107" s="42"/>
      <c r="W107" s="42"/>
      <c r="X107" s="42"/>
      <c r="Y107" s="42"/>
      <c r="Z107" s="42"/>
      <c r="AA107" s="42"/>
      <c r="AB107" s="42"/>
      <c r="AC107" s="49"/>
      <c r="AD107" s="50"/>
      <c r="AE107" s="49"/>
      <c r="AF107" s="50"/>
      <c r="AG107" s="49"/>
      <c r="AH107" s="50"/>
      <c r="AI107" s="50"/>
      <c r="AJ107" s="49"/>
      <c r="AK107" s="50"/>
      <c r="AL107" s="42"/>
      <c r="AM107" s="42"/>
      <c r="AN107" s="49"/>
      <c r="AO107" s="49"/>
      <c r="AP107" s="49"/>
      <c r="AQ107" s="49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</row>
    <row r="108" spans="1:53" x14ac:dyDescent="0.2">
      <c r="A108" s="29">
        <v>147</v>
      </c>
      <c r="B108" s="29" t="s">
        <v>64</v>
      </c>
      <c r="C108" s="29" t="s">
        <v>65</v>
      </c>
      <c r="D108" s="29" t="s">
        <v>35</v>
      </c>
      <c r="E108" s="29" t="s">
        <v>36</v>
      </c>
      <c r="F108" s="29" t="s">
        <v>37</v>
      </c>
      <c r="G108" s="41">
        <v>3</v>
      </c>
      <c r="H108" s="40" t="s">
        <v>22</v>
      </c>
      <c r="I108" s="40" t="s">
        <v>22</v>
      </c>
      <c r="J108" s="29" t="s">
        <v>46</v>
      </c>
      <c r="K108" s="28" t="s">
        <v>137</v>
      </c>
      <c r="L108" s="38">
        <v>7.5739999999999998</v>
      </c>
      <c r="M108" s="28" t="s">
        <v>137</v>
      </c>
      <c r="N108" s="38">
        <v>6.4039999999999999</v>
      </c>
      <c r="O108" s="28" t="s">
        <v>137</v>
      </c>
      <c r="P108" s="38">
        <v>2.605</v>
      </c>
      <c r="Q108" s="38">
        <v>2.6760000000000002</v>
      </c>
      <c r="R108" s="28" t="s">
        <v>137</v>
      </c>
      <c r="S108" s="38">
        <v>10.97</v>
      </c>
      <c r="T108" s="29">
        <f>COUNT(L106:L117)</f>
        <v>12</v>
      </c>
      <c r="V108" s="42"/>
      <c r="W108" s="42"/>
      <c r="X108" s="42"/>
      <c r="Y108" s="42"/>
      <c r="Z108" s="42"/>
      <c r="AA108" s="42"/>
      <c r="AB108" s="42"/>
      <c r="AC108" s="49"/>
      <c r="AD108" s="50"/>
      <c r="AE108" s="49"/>
      <c r="AF108" s="50"/>
      <c r="AG108" s="49"/>
      <c r="AH108" s="50"/>
      <c r="AI108" s="50"/>
      <c r="AJ108" s="49"/>
      <c r="AK108" s="50"/>
      <c r="AL108" s="42"/>
      <c r="AM108" s="42"/>
      <c r="AN108" s="49"/>
      <c r="AO108" s="49"/>
      <c r="AP108" s="49"/>
      <c r="AQ108" s="49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</row>
    <row r="109" spans="1:53" x14ac:dyDescent="0.2">
      <c r="A109" s="29">
        <v>148</v>
      </c>
      <c r="B109" s="29" t="s">
        <v>64</v>
      </c>
      <c r="C109" s="29" t="s">
        <v>65</v>
      </c>
      <c r="D109" s="29" t="s">
        <v>35</v>
      </c>
      <c r="E109" s="29" t="s">
        <v>36</v>
      </c>
      <c r="F109" s="29" t="s">
        <v>37</v>
      </c>
      <c r="G109" s="36">
        <v>1</v>
      </c>
      <c r="H109" s="40" t="s">
        <v>22</v>
      </c>
      <c r="I109" s="40" t="s">
        <v>22</v>
      </c>
      <c r="J109" s="29" t="s">
        <v>25</v>
      </c>
      <c r="K109" s="28" t="s">
        <v>137</v>
      </c>
      <c r="L109" s="38">
        <v>8.0150000000000006</v>
      </c>
      <c r="M109" s="28" t="s">
        <v>137</v>
      </c>
      <c r="N109" s="38">
        <v>6.1660000000000004</v>
      </c>
      <c r="O109" s="28" t="s">
        <v>137</v>
      </c>
      <c r="P109" s="38">
        <v>2.4609999999999999</v>
      </c>
      <c r="Q109" s="38">
        <v>2.9380000000000002</v>
      </c>
      <c r="R109" s="28" t="s">
        <v>137</v>
      </c>
      <c r="S109" s="38">
        <v>11.76</v>
      </c>
      <c r="T109" s="29">
        <f>COUNT(M106:M117)</f>
        <v>0</v>
      </c>
      <c r="V109" s="42"/>
      <c r="W109" s="42"/>
      <c r="X109" s="42"/>
      <c r="Y109" s="42"/>
      <c r="Z109" s="42"/>
      <c r="AA109" s="42"/>
      <c r="AB109" s="42"/>
      <c r="AC109" s="49"/>
      <c r="AD109" s="50"/>
      <c r="AE109" s="49"/>
      <c r="AF109" s="50"/>
      <c r="AG109" s="49"/>
      <c r="AH109" s="50"/>
      <c r="AI109" s="50"/>
      <c r="AJ109" s="49"/>
      <c r="AK109" s="50"/>
      <c r="AL109" s="42"/>
      <c r="AM109" s="42"/>
      <c r="AN109" s="49"/>
      <c r="AO109" s="49"/>
      <c r="AP109" s="49"/>
      <c r="AQ109" s="49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</row>
    <row r="110" spans="1:53" x14ac:dyDescent="0.2">
      <c r="A110" s="29">
        <v>149</v>
      </c>
      <c r="B110" s="29" t="s">
        <v>64</v>
      </c>
      <c r="C110" s="29" t="s">
        <v>65</v>
      </c>
      <c r="D110" s="29" t="s">
        <v>35</v>
      </c>
      <c r="E110" s="29" t="s">
        <v>36</v>
      </c>
      <c r="F110" s="29" t="s">
        <v>37</v>
      </c>
      <c r="G110" s="39">
        <v>2</v>
      </c>
      <c r="H110" s="40" t="s">
        <v>22</v>
      </c>
      <c r="I110" s="40" t="s">
        <v>22</v>
      </c>
      <c r="J110" s="29" t="s">
        <v>26</v>
      </c>
      <c r="K110" s="28" t="s">
        <v>137</v>
      </c>
      <c r="L110" s="38">
        <v>7.907</v>
      </c>
      <c r="M110" s="28" t="s">
        <v>137</v>
      </c>
      <c r="N110" s="38">
        <v>6.181</v>
      </c>
      <c r="O110" s="28" t="s">
        <v>137</v>
      </c>
      <c r="P110" s="38">
        <v>2.6880000000000002</v>
      </c>
      <c r="Q110" s="38">
        <v>2.8149999999999999</v>
      </c>
      <c r="R110" s="28" t="s">
        <v>137</v>
      </c>
      <c r="S110" s="38">
        <v>11.66</v>
      </c>
      <c r="T110" s="29">
        <f>COUNT(N106:N117)</f>
        <v>12</v>
      </c>
      <c r="V110" s="42"/>
      <c r="W110" s="42"/>
      <c r="X110" s="42"/>
      <c r="Y110" s="42"/>
      <c r="Z110" s="42"/>
      <c r="AA110" s="42"/>
      <c r="AB110" s="42"/>
      <c r="AC110" s="49"/>
      <c r="AD110" s="50"/>
      <c r="AE110" s="49"/>
      <c r="AF110" s="50"/>
      <c r="AG110" s="49"/>
      <c r="AH110" s="50"/>
      <c r="AI110" s="50"/>
      <c r="AJ110" s="49"/>
      <c r="AK110" s="50"/>
      <c r="AL110" s="42"/>
      <c r="AM110" s="42"/>
      <c r="AN110" s="49"/>
      <c r="AO110" s="49"/>
      <c r="AP110" s="49"/>
      <c r="AQ110" s="49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</row>
    <row r="111" spans="1:53" x14ac:dyDescent="0.2">
      <c r="A111" s="29">
        <v>150</v>
      </c>
      <c r="B111" s="29" t="s">
        <v>64</v>
      </c>
      <c r="C111" s="29" t="s">
        <v>65</v>
      </c>
      <c r="D111" s="29" t="s">
        <v>35</v>
      </c>
      <c r="E111" s="29" t="s">
        <v>36</v>
      </c>
      <c r="F111" s="29" t="s">
        <v>37</v>
      </c>
      <c r="G111" s="41">
        <v>3</v>
      </c>
      <c r="H111" s="40" t="s">
        <v>22</v>
      </c>
      <c r="I111" s="40" t="s">
        <v>22</v>
      </c>
      <c r="J111" s="29" t="s">
        <v>27</v>
      </c>
      <c r="K111" s="28" t="s">
        <v>137</v>
      </c>
      <c r="L111" s="38">
        <v>7.8970000000000002</v>
      </c>
      <c r="M111" s="28" t="s">
        <v>137</v>
      </c>
      <c r="N111" s="38">
        <v>6.2770000000000001</v>
      </c>
      <c r="O111" s="28" t="s">
        <v>137</v>
      </c>
      <c r="P111" s="38">
        <v>2.5659999999999998</v>
      </c>
      <c r="Q111" s="38">
        <v>2.8109999999999999</v>
      </c>
      <c r="R111" s="28" t="s">
        <v>137</v>
      </c>
      <c r="S111" s="38">
        <v>11.39</v>
      </c>
      <c r="T111" s="29">
        <f>COUNT(O106:O117)</f>
        <v>0</v>
      </c>
      <c r="V111" s="42"/>
      <c r="W111" s="42"/>
      <c r="X111" s="42"/>
      <c r="Y111" s="42"/>
      <c r="Z111" s="42"/>
      <c r="AA111" s="42"/>
      <c r="AB111" s="42"/>
      <c r="AC111" s="49"/>
      <c r="AD111" s="50"/>
      <c r="AE111" s="49"/>
      <c r="AF111" s="50"/>
      <c r="AG111" s="49"/>
      <c r="AH111" s="50"/>
      <c r="AI111" s="50"/>
      <c r="AJ111" s="49"/>
      <c r="AK111" s="50"/>
      <c r="AL111" s="42"/>
      <c r="AM111" s="42"/>
      <c r="AN111" s="49"/>
      <c r="AO111" s="49"/>
      <c r="AP111" s="49"/>
      <c r="AQ111" s="49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</row>
    <row r="112" spans="1:53" x14ac:dyDescent="0.2">
      <c r="A112" s="29">
        <v>151</v>
      </c>
      <c r="B112" s="29" t="s">
        <v>64</v>
      </c>
      <c r="C112" s="29" t="s">
        <v>65</v>
      </c>
      <c r="D112" s="29" t="s">
        <v>35</v>
      </c>
      <c r="E112" s="29" t="s">
        <v>36</v>
      </c>
      <c r="F112" s="29" t="s">
        <v>37</v>
      </c>
      <c r="G112" s="36">
        <v>1</v>
      </c>
      <c r="H112" s="40" t="s">
        <v>22</v>
      </c>
      <c r="I112" s="40" t="s">
        <v>22</v>
      </c>
      <c r="J112" s="29" t="s">
        <v>39</v>
      </c>
      <c r="K112" s="28" t="s">
        <v>137</v>
      </c>
      <c r="L112" s="38">
        <v>8.0890000000000004</v>
      </c>
      <c r="M112" s="28" t="s">
        <v>137</v>
      </c>
      <c r="N112" s="38">
        <v>6.2030000000000003</v>
      </c>
      <c r="O112" s="28" t="s">
        <v>137</v>
      </c>
      <c r="P112" s="38">
        <v>2.581</v>
      </c>
      <c r="Q112" s="38">
        <v>2.9940000000000002</v>
      </c>
      <c r="R112" s="28" t="s">
        <v>137</v>
      </c>
      <c r="S112" s="38">
        <v>12.04</v>
      </c>
      <c r="T112" s="29">
        <f>COUNT(P106:P117)</f>
        <v>12</v>
      </c>
      <c r="V112" s="42"/>
      <c r="W112" s="42"/>
      <c r="X112" s="42"/>
      <c r="Y112" s="42"/>
      <c r="Z112" s="42"/>
      <c r="AA112" s="42"/>
      <c r="AB112" s="42"/>
      <c r="AC112" s="49"/>
      <c r="AD112" s="50"/>
      <c r="AE112" s="49"/>
      <c r="AF112" s="50"/>
      <c r="AG112" s="49"/>
      <c r="AH112" s="50"/>
      <c r="AI112" s="50"/>
      <c r="AJ112" s="49"/>
      <c r="AK112" s="50"/>
      <c r="AL112" s="42"/>
      <c r="AM112" s="42"/>
      <c r="AN112" s="49"/>
      <c r="AO112" s="49"/>
      <c r="AP112" s="49"/>
      <c r="AQ112" s="49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</row>
    <row r="113" spans="1:53" x14ac:dyDescent="0.2">
      <c r="A113" s="29">
        <v>152</v>
      </c>
      <c r="B113" s="29" t="s">
        <v>64</v>
      </c>
      <c r="C113" s="29" t="s">
        <v>65</v>
      </c>
      <c r="D113" s="29" t="s">
        <v>35</v>
      </c>
      <c r="E113" s="29" t="s">
        <v>36</v>
      </c>
      <c r="F113" s="29" t="s">
        <v>37</v>
      </c>
      <c r="G113" s="39">
        <v>2</v>
      </c>
      <c r="H113" s="40" t="s">
        <v>22</v>
      </c>
      <c r="I113" s="40" t="s">
        <v>22</v>
      </c>
      <c r="J113" s="29" t="s">
        <v>40</v>
      </c>
      <c r="K113" s="28" t="s">
        <v>137</v>
      </c>
      <c r="L113" s="38">
        <v>7.7</v>
      </c>
      <c r="M113" s="28" t="s">
        <v>137</v>
      </c>
      <c r="N113" s="38">
        <v>6.234</v>
      </c>
      <c r="O113" s="28" t="s">
        <v>137</v>
      </c>
      <c r="P113" s="38">
        <v>2.7090000000000001</v>
      </c>
      <c r="Q113" s="38">
        <v>3.0009999999999999</v>
      </c>
      <c r="R113" s="28" t="s">
        <v>137</v>
      </c>
      <c r="S113" s="38">
        <v>11.26</v>
      </c>
      <c r="T113" s="29">
        <f>COUNT(Q106:Q117)</f>
        <v>12</v>
      </c>
      <c r="V113" s="42"/>
      <c r="W113" s="42"/>
      <c r="X113" s="42"/>
      <c r="Y113" s="42"/>
      <c r="Z113" s="42"/>
      <c r="AA113" s="42"/>
      <c r="AB113" s="42"/>
      <c r="AC113" s="49"/>
      <c r="AD113" s="50"/>
      <c r="AE113" s="49"/>
      <c r="AF113" s="50"/>
      <c r="AG113" s="49"/>
      <c r="AH113" s="50"/>
      <c r="AI113" s="50"/>
      <c r="AJ113" s="49"/>
      <c r="AK113" s="50"/>
      <c r="AL113" s="42"/>
      <c r="AM113" s="42"/>
      <c r="AN113" s="49"/>
      <c r="AO113" s="49"/>
      <c r="AP113" s="49"/>
      <c r="AQ113" s="49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</row>
    <row r="114" spans="1:53" x14ac:dyDescent="0.2">
      <c r="A114" s="29">
        <v>153</v>
      </c>
      <c r="B114" s="29" t="s">
        <v>64</v>
      </c>
      <c r="C114" s="29" t="s">
        <v>65</v>
      </c>
      <c r="D114" s="29" t="s">
        <v>35</v>
      </c>
      <c r="E114" s="29" t="s">
        <v>36</v>
      </c>
      <c r="F114" s="29" t="s">
        <v>37</v>
      </c>
      <c r="G114" s="41">
        <v>3</v>
      </c>
      <c r="H114" s="40" t="s">
        <v>22</v>
      </c>
      <c r="I114" s="40" t="s">
        <v>22</v>
      </c>
      <c r="J114" s="29" t="s">
        <v>47</v>
      </c>
      <c r="K114" s="28" t="s">
        <v>137</v>
      </c>
      <c r="L114" s="38">
        <v>7.8250000000000002</v>
      </c>
      <c r="M114" s="28" t="s">
        <v>137</v>
      </c>
      <c r="N114" s="38">
        <v>6.4850000000000003</v>
      </c>
      <c r="O114" s="28" t="s">
        <v>137</v>
      </c>
      <c r="P114" s="38">
        <v>2.6139999999999999</v>
      </c>
      <c r="Q114" s="38">
        <v>2.7330000000000001</v>
      </c>
      <c r="R114" s="28" t="s">
        <v>137</v>
      </c>
      <c r="S114" s="38">
        <v>11.36</v>
      </c>
      <c r="T114" s="29">
        <f>COUNT(R106:R117)</f>
        <v>0</v>
      </c>
      <c r="V114" s="42"/>
      <c r="W114" s="42"/>
      <c r="X114" s="42"/>
      <c r="Y114" s="42"/>
      <c r="Z114" s="42"/>
      <c r="AA114" s="42"/>
      <c r="AB114" s="42"/>
      <c r="AC114" s="49"/>
      <c r="AD114" s="50"/>
      <c r="AE114" s="49"/>
      <c r="AF114" s="50"/>
      <c r="AG114" s="49"/>
      <c r="AH114" s="50"/>
      <c r="AI114" s="50"/>
      <c r="AJ114" s="49"/>
      <c r="AK114" s="50"/>
      <c r="AL114" s="42"/>
      <c r="AM114" s="42"/>
      <c r="AN114" s="49"/>
      <c r="AO114" s="49"/>
      <c r="AP114" s="49"/>
      <c r="AQ114" s="49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</row>
    <row r="115" spans="1:53" x14ac:dyDescent="0.2">
      <c r="A115" s="29">
        <v>154</v>
      </c>
      <c r="B115" s="29" t="s">
        <v>64</v>
      </c>
      <c r="C115" s="29" t="s">
        <v>65</v>
      </c>
      <c r="D115" s="29" t="s">
        <v>35</v>
      </c>
      <c r="E115" s="29" t="s">
        <v>36</v>
      </c>
      <c r="F115" s="29" t="s">
        <v>37</v>
      </c>
      <c r="G115" s="36">
        <v>1</v>
      </c>
      <c r="H115" s="40" t="s">
        <v>22</v>
      </c>
      <c r="I115" s="40" t="s">
        <v>22</v>
      </c>
      <c r="J115" s="29" t="s">
        <v>41</v>
      </c>
      <c r="K115" s="28" t="s">
        <v>137</v>
      </c>
      <c r="L115" s="38">
        <v>7.9820000000000002</v>
      </c>
      <c r="M115" s="28" t="s">
        <v>137</v>
      </c>
      <c r="N115" s="38">
        <v>6.056</v>
      </c>
      <c r="O115" s="28" t="s">
        <v>137</v>
      </c>
      <c r="P115" s="38">
        <v>2.415</v>
      </c>
      <c r="Q115" s="38">
        <v>2.827</v>
      </c>
      <c r="R115" s="28" t="s">
        <v>137</v>
      </c>
      <c r="S115" s="38">
        <v>11.26</v>
      </c>
      <c r="T115" s="29">
        <f>COUNT(S106:S117)</f>
        <v>12</v>
      </c>
      <c r="V115" s="42"/>
      <c r="W115" s="42"/>
      <c r="X115" s="42"/>
      <c r="Y115" s="42"/>
      <c r="Z115" s="42"/>
      <c r="AA115" s="42"/>
      <c r="AB115" s="42"/>
      <c r="AC115" s="49"/>
      <c r="AD115" s="50"/>
      <c r="AE115" s="49"/>
      <c r="AF115" s="50"/>
      <c r="AG115" s="49"/>
      <c r="AH115" s="50"/>
      <c r="AI115" s="50"/>
      <c r="AJ115" s="49"/>
      <c r="AK115" s="50"/>
      <c r="AL115" s="42"/>
      <c r="AM115" s="42"/>
      <c r="AN115" s="49"/>
      <c r="AO115" s="49"/>
      <c r="AP115" s="49"/>
      <c r="AQ115" s="49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</row>
    <row r="116" spans="1:53" x14ac:dyDescent="0.2">
      <c r="A116" s="29">
        <v>155</v>
      </c>
      <c r="B116" s="29" t="s">
        <v>64</v>
      </c>
      <c r="C116" s="29" t="s">
        <v>65</v>
      </c>
      <c r="D116" s="29" t="s">
        <v>35</v>
      </c>
      <c r="E116" s="29" t="s">
        <v>36</v>
      </c>
      <c r="F116" s="29" t="s">
        <v>37</v>
      </c>
      <c r="G116" s="39">
        <v>2</v>
      </c>
      <c r="H116" s="40" t="s">
        <v>22</v>
      </c>
      <c r="I116" s="40" t="s">
        <v>22</v>
      </c>
      <c r="J116" s="29" t="s">
        <v>28</v>
      </c>
      <c r="K116" s="28" t="s">
        <v>137</v>
      </c>
      <c r="L116" s="38">
        <v>7.9119999999999999</v>
      </c>
      <c r="M116" s="28" t="s">
        <v>137</v>
      </c>
      <c r="N116" s="38">
        <v>5.97</v>
      </c>
      <c r="O116" s="28" t="s">
        <v>137</v>
      </c>
      <c r="P116" s="38">
        <v>2.5990000000000002</v>
      </c>
      <c r="Q116" s="38">
        <v>2.7120000000000002</v>
      </c>
      <c r="R116" s="28" t="s">
        <v>137</v>
      </c>
      <c r="S116" s="38">
        <v>11.36</v>
      </c>
      <c r="T116" s="29">
        <f>T106-SUM(T107:T115)</f>
        <v>0</v>
      </c>
      <c r="V116" s="42"/>
      <c r="W116" s="42"/>
      <c r="X116" s="42"/>
      <c r="Y116" s="42"/>
      <c r="Z116" s="42"/>
      <c r="AA116" s="42"/>
      <c r="AB116" s="42"/>
      <c r="AC116" s="49"/>
      <c r="AD116" s="50"/>
      <c r="AE116" s="49"/>
      <c r="AF116" s="50"/>
      <c r="AG116" s="49"/>
      <c r="AH116" s="50"/>
      <c r="AI116" s="50"/>
      <c r="AJ116" s="49"/>
      <c r="AK116" s="50"/>
      <c r="AL116" s="42"/>
      <c r="AM116" s="42"/>
      <c r="AN116" s="49"/>
      <c r="AO116" s="49"/>
      <c r="AP116" s="49"/>
      <c r="AQ116" s="49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</row>
    <row r="117" spans="1:53" x14ac:dyDescent="0.2">
      <c r="A117" s="29">
        <v>156</v>
      </c>
      <c r="B117" s="29" t="s">
        <v>64</v>
      </c>
      <c r="C117" s="29" t="s">
        <v>65</v>
      </c>
      <c r="D117" s="29" t="s">
        <v>35</v>
      </c>
      <c r="E117" s="29" t="s">
        <v>36</v>
      </c>
      <c r="F117" s="29" t="s">
        <v>37</v>
      </c>
      <c r="G117" s="41">
        <v>3</v>
      </c>
      <c r="H117" s="40" t="s">
        <v>22</v>
      </c>
      <c r="I117" s="40" t="s">
        <v>22</v>
      </c>
      <c r="J117" s="29" t="s">
        <v>29</v>
      </c>
      <c r="K117" s="28" t="s">
        <v>137</v>
      </c>
      <c r="L117" s="38">
        <v>7.3159999999999998</v>
      </c>
      <c r="M117" s="28" t="s">
        <v>137</v>
      </c>
      <c r="N117" s="38">
        <v>5.8920000000000003</v>
      </c>
      <c r="O117" s="28" t="s">
        <v>137</v>
      </c>
      <c r="P117" s="38">
        <v>2.0289999999999999</v>
      </c>
      <c r="Q117" s="38">
        <v>2.4689999999999999</v>
      </c>
      <c r="R117" s="28" t="s">
        <v>137</v>
      </c>
      <c r="S117" s="38">
        <v>10.91</v>
      </c>
      <c r="T117" s="29">
        <v>9999</v>
      </c>
      <c r="V117" s="42"/>
      <c r="W117" s="42"/>
      <c r="X117" s="42"/>
      <c r="Y117" s="42"/>
      <c r="Z117" s="42"/>
      <c r="AA117" s="42"/>
      <c r="AB117" s="42"/>
      <c r="AC117" s="49"/>
      <c r="AD117" s="50"/>
      <c r="AE117" s="49"/>
      <c r="AF117" s="50"/>
      <c r="AG117" s="49"/>
      <c r="AH117" s="50"/>
      <c r="AI117" s="50"/>
      <c r="AJ117" s="49"/>
      <c r="AK117" s="50"/>
      <c r="AL117" s="42"/>
      <c r="AM117" s="42"/>
      <c r="AN117" s="49"/>
      <c r="AO117" s="49"/>
      <c r="AP117" s="49"/>
      <c r="AQ117" s="49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</row>
    <row r="118" spans="1:53" s="26" customForma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47"/>
      <c r="L118" s="48"/>
      <c r="M118" s="47"/>
      <c r="N118" s="48"/>
      <c r="O118" s="47"/>
      <c r="P118" s="48"/>
      <c r="Q118" s="48"/>
      <c r="R118" s="47"/>
      <c r="S118" s="48"/>
      <c r="T118" s="21"/>
      <c r="U118" s="25"/>
      <c r="V118" s="42"/>
      <c r="W118" s="42"/>
      <c r="X118" s="42"/>
      <c r="Y118" s="42"/>
      <c r="Z118" s="42"/>
      <c r="AA118" s="42"/>
      <c r="AB118" s="42"/>
      <c r="AC118" s="49"/>
      <c r="AD118" s="50"/>
      <c r="AE118" s="49"/>
      <c r="AF118" s="50"/>
      <c r="AG118" s="49"/>
      <c r="AH118" s="50"/>
      <c r="AI118" s="50"/>
      <c r="AJ118" s="49"/>
      <c r="AK118" s="50"/>
      <c r="AL118" s="42"/>
      <c r="AM118" s="42"/>
      <c r="AN118" s="49"/>
      <c r="AO118" s="49"/>
      <c r="AP118" s="49"/>
      <c r="AQ118" s="49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</row>
    <row r="119" spans="1:53" x14ac:dyDescent="0.2">
      <c r="A119" s="29">
        <v>157</v>
      </c>
      <c r="B119" s="29" t="s">
        <v>68</v>
      </c>
      <c r="C119" s="29" t="s">
        <v>69</v>
      </c>
      <c r="D119" s="29" t="s">
        <v>35</v>
      </c>
      <c r="E119" s="29" t="s">
        <v>36</v>
      </c>
      <c r="F119" s="29" t="s">
        <v>37</v>
      </c>
      <c r="G119" s="36">
        <v>1</v>
      </c>
      <c r="H119" s="40" t="s">
        <v>22</v>
      </c>
      <c r="I119" s="40" t="s">
        <v>22</v>
      </c>
      <c r="J119" s="29" t="s">
        <v>24</v>
      </c>
      <c r="K119" s="28" t="s">
        <v>137</v>
      </c>
      <c r="L119" s="38">
        <v>7.9980000000000002</v>
      </c>
      <c r="M119" s="28" t="s">
        <v>137</v>
      </c>
      <c r="N119" s="38">
        <v>6.0549999999999997</v>
      </c>
      <c r="O119" s="28" t="s">
        <v>137</v>
      </c>
      <c r="P119" s="38">
        <v>2.762</v>
      </c>
      <c r="Q119" s="38">
        <v>2.9790000000000001</v>
      </c>
      <c r="R119" s="28" t="s">
        <v>137</v>
      </c>
      <c r="S119" s="38">
        <v>11.694000000000001</v>
      </c>
      <c r="T119" s="29">
        <f>COUNT(K119:S130)</f>
        <v>60</v>
      </c>
      <c r="V119" s="42"/>
      <c r="W119" s="42"/>
      <c r="X119" s="42"/>
      <c r="Y119" s="42"/>
      <c r="Z119" s="42"/>
      <c r="AA119" s="42"/>
      <c r="AB119" s="42"/>
      <c r="AC119" s="49"/>
      <c r="AD119" s="50"/>
      <c r="AE119" s="49"/>
      <c r="AF119" s="50"/>
      <c r="AG119" s="49"/>
      <c r="AH119" s="50"/>
      <c r="AI119" s="50"/>
      <c r="AJ119" s="49"/>
      <c r="AK119" s="50"/>
      <c r="AL119" s="42"/>
      <c r="AM119" s="42"/>
      <c r="AN119" s="49"/>
      <c r="AO119" s="49"/>
      <c r="AP119" s="49"/>
      <c r="AQ119" s="49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</row>
    <row r="120" spans="1:53" x14ac:dyDescent="0.2">
      <c r="A120" s="29">
        <v>158</v>
      </c>
      <c r="B120" s="29" t="s">
        <v>68</v>
      </c>
      <c r="C120" s="29" t="s">
        <v>69</v>
      </c>
      <c r="D120" s="29" t="s">
        <v>35</v>
      </c>
      <c r="E120" s="29" t="s">
        <v>36</v>
      </c>
      <c r="F120" s="29" t="s">
        <v>37</v>
      </c>
      <c r="G120" s="39">
        <v>2</v>
      </c>
      <c r="H120" s="40" t="s">
        <v>22</v>
      </c>
      <c r="I120" s="40" t="s">
        <v>22</v>
      </c>
      <c r="J120" s="29" t="s">
        <v>45</v>
      </c>
      <c r="K120" s="28" t="s">
        <v>137</v>
      </c>
      <c r="L120" s="38">
        <v>7.673</v>
      </c>
      <c r="M120" s="28" t="s">
        <v>137</v>
      </c>
      <c r="N120" s="38">
        <v>6.1109999999999998</v>
      </c>
      <c r="O120" s="28" t="s">
        <v>137</v>
      </c>
      <c r="P120" s="38">
        <v>2.5830000000000002</v>
      </c>
      <c r="Q120" s="38">
        <v>2.879</v>
      </c>
      <c r="R120" s="28" t="s">
        <v>137</v>
      </c>
      <c r="S120" s="38">
        <v>11.188000000000001</v>
      </c>
      <c r="T120" s="29">
        <f>COUNT(K119:K130)</f>
        <v>0</v>
      </c>
      <c r="V120" s="42"/>
      <c r="W120" s="42"/>
      <c r="X120" s="42"/>
      <c r="Y120" s="42"/>
      <c r="Z120" s="42"/>
      <c r="AA120" s="42"/>
      <c r="AB120" s="42"/>
      <c r="AC120" s="49"/>
      <c r="AD120" s="50"/>
      <c r="AE120" s="49"/>
      <c r="AF120" s="50"/>
      <c r="AG120" s="49"/>
      <c r="AH120" s="50"/>
      <c r="AI120" s="50"/>
      <c r="AJ120" s="49"/>
      <c r="AK120" s="50"/>
      <c r="AL120" s="42"/>
      <c r="AM120" s="42"/>
      <c r="AN120" s="49"/>
      <c r="AO120" s="49"/>
      <c r="AP120" s="49"/>
      <c r="AQ120" s="49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</row>
    <row r="121" spans="1:53" x14ac:dyDescent="0.2">
      <c r="A121" s="29">
        <v>159</v>
      </c>
      <c r="B121" s="29" t="s">
        <v>68</v>
      </c>
      <c r="C121" s="29" t="s">
        <v>69</v>
      </c>
      <c r="D121" s="29" t="s">
        <v>35</v>
      </c>
      <c r="E121" s="29" t="s">
        <v>36</v>
      </c>
      <c r="F121" s="29" t="s">
        <v>37</v>
      </c>
      <c r="G121" s="41">
        <v>3</v>
      </c>
      <c r="H121" s="40" t="s">
        <v>22</v>
      </c>
      <c r="I121" s="40" t="s">
        <v>22</v>
      </c>
      <c r="J121" s="29" t="s">
        <v>46</v>
      </c>
      <c r="K121" s="28" t="s">
        <v>137</v>
      </c>
      <c r="L121" s="38">
        <v>7.7160000000000002</v>
      </c>
      <c r="M121" s="28" t="s">
        <v>137</v>
      </c>
      <c r="N121" s="38">
        <v>6.3620000000000001</v>
      </c>
      <c r="O121" s="28" t="s">
        <v>137</v>
      </c>
      <c r="P121" s="38">
        <v>2.4929999999999999</v>
      </c>
      <c r="Q121" s="38">
        <v>2.6259999999999999</v>
      </c>
      <c r="R121" s="28" t="s">
        <v>137</v>
      </c>
      <c r="S121" s="38">
        <v>11.006</v>
      </c>
      <c r="T121" s="29">
        <f>COUNT(L119:L130)</f>
        <v>12</v>
      </c>
      <c r="V121" s="42"/>
      <c r="W121" s="42"/>
      <c r="X121" s="42"/>
      <c r="Y121" s="42"/>
      <c r="Z121" s="42"/>
      <c r="AA121" s="42"/>
      <c r="AB121" s="42"/>
      <c r="AC121" s="49"/>
      <c r="AD121" s="50"/>
      <c r="AE121" s="49"/>
      <c r="AF121" s="50"/>
      <c r="AG121" s="49"/>
      <c r="AH121" s="50"/>
      <c r="AI121" s="50"/>
      <c r="AJ121" s="49"/>
      <c r="AK121" s="50"/>
      <c r="AL121" s="42"/>
      <c r="AM121" s="42"/>
      <c r="AN121" s="49"/>
      <c r="AO121" s="49"/>
      <c r="AP121" s="49"/>
      <c r="AQ121" s="49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</row>
    <row r="122" spans="1:53" x14ac:dyDescent="0.2">
      <c r="A122" s="29">
        <v>160</v>
      </c>
      <c r="B122" s="29" t="s">
        <v>68</v>
      </c>
      <c r="C122" s="29" t="s">
        <v>69</v>
      </c>
      <c r="D122" s="29" t="s">
        <v>35</v>
      </c>
      <c r="E122" s="29" t="s">
        <v>36</v>
      </c>
      <c r="F122" s="29" t="s">
        <v>37</v>
      </c>
      <c r="G122" s="36">
        <v>1</v>
      </c>
      <c r="H122" s="40" t="s">
        <v>22</v>
      </c>
      <c r="I122" s="40" t="s">
        <v>22</v>
      </c>
      <c r="J122" s="29" t="s">
        <v>25</v>
      </c>
      <c r="K122" s="28" t="s">
        <v>137</v>
      </c>
      <c r="L122" s="38">
        <v>7.9740000000000002</v>
      </c>
      <c r="M122" s="28" t="s">
        <v>137</v>
      </c>
      <c r="N122" s="38">
        <v>6.0819999999999999</v>
      </c>
      <c r="O122" s="28" t="s">
        <v>137</v>
      </c>
      <c r="P122" s="38">
        <v>2.4129999999999998</v>
      </c>
      <c r="Q122" s="38">
        <v>2.8639999999999999</v>
      </c>
      <c r="R122" s="28" t="s">
        <v>137</v>
      </c>
      <c r="S122" s="38">
        <v>11.641</v>
      </c>
      <c r="T122" s="29">
        <f>COUNT(M119:M130)</f>
        <v>0</v>
      </c>
      <c r="V122" s="42"/>
      <c r="W122" s="42"/>
      <c r="X122" s="42"/>
      <c r="Y122" s="42"/>
      <c r="Z122" s="42"/>
      <c r="AA122" s="42"/>
      <c r="AB122" s="42"/>
      <c r="AC122" s="49"/>
      <c r="AD122" s="50"/>
      <c r="AE122" s="49"/>
      <c r="AF122" s="50"/>
      <c r="AG122" s="49"/>
      <c r="AH122" s="50"/>
      <c r="AI122" s="50"/>
      <c r="AJ122" s="49"/>
      <c r="AK122" s="50"/>
      <c r="AL122" s="42"/>
      <c r="AM122" s="42"/>
      <c r="AN122" s="49"/>
      <c r="AO122" s="49"/>
      <c r="AP122" s="49"/>
      <c r="AQ122" s="49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</row>
    <row r="123" spans="1:53" x14ac:dyDescent="0.2">
      <c r="A123" s="29">
        <v>161</v>
      </c>
      <c r="B123" s="29" t="s">
        <v>68</v>
      </c>
      <c r="C123" s="29" t="s">
        <v>69</v>
      </c>
      <c r="D123" s="29" t="s">
        <v>35</v>
      </c>
      <c r="E123" s="29" t="s">
        <v>36</v>
      </c>
      <c r="F123" s="29" t="s">
        <v>37</v>
      </c>
      <c r="G123" s="39">
        <v>2</v>
      </c>
      <c r="H123" s="40" t="s">
        <v>22</v>
      </c>
      <c r="I123" s="40" t="s">
        <v>22</v>
      </c>
      <c r="J123" s="29" t="s">
        <v>26</v>
      </c>
      <c r="K123" s="28" t="s">
        <v>137</v>
      </c>
      <c r="L123" s="38">
        <v>7.9370000000000003</v>
      </c>
      <c r="M123" s="28" t="s">
        <v>137</v>
      </c>
      <c r="N123" s="38">
        <v>6.05</v>
      </c>
      <c r="O123" s="28" t="s">
        <v>137</v>
      </c>
      <c r="P123" s="38">
        <v>2.6379999999999999</v>
      </c>
      <c r="Q123" s="38">
        <v>2.8039999999999998</v>
      </c>
      <c r="R123" s="28" t="s">
        <v>137</v>
      </c>
      <c r="S123" s="38">
        <v>11.487</v>
      </c>
      <c r="T123" s="29">
        <f>COUNT(N119:N130)</f>
        <v>12</v>
      </c>
      <c r="V123" s="42"/>
      <c r="W123" s="42"/>
      <c r="X123" s="42"/>
      <c r="Y123" s="42"/>
      <c r="Z123" s="42"/>
      <c r="AA123" s="42"/>
      <c r="AB123" s="42"/>
      <c r="AC123" s="49"/>
      <c r="AD123" s="50"/>
      <c r="AE123" s="49"/>
      <c r="AF123" s="50"/>
      <c r="AG123" s="49"/>
      <c r="AH123" s="50"/>
      <c r="AI123" s="50"/>
      <c r="AJ123" s="49"/>
      <c r="AK123" s="50"/>
      <c r="AL123" s="42"/>
      <c r="AM123" s="42"/>
      <c r="AN123" s="49"/>
      <c r="AO123" s="49"/>
      <c r="AP123" s="49"/>
      <c r="AQ123" s="49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</row>
    <row r="124" spans="1:53" x14ac:dyDescent="0.2">
      <c r="A124" s="29">
        <v>162</v>
      </c>
      <c r="B124" s="29" t="s">
        <v>68</v>
      </c>
      <c r="C124" s="29" t="s">
        <v>69</v>
      </c>
      <c r="D124" s="29" t="s">
        <v>35</v>
      </c>
      <c r="E124" s="29" t="s">
        <v>36</v>
      </c>
      <c r="F124" s="29" t="s">
        <v>37</v>
      </c>
      <c r="G124" s="41">
        <v>3</v>
      </c>
      <c r="H124" s="40" t="s">
        <v>22</v>
      </c>
      <c r="I124" s="40" t="s">
        <v>22</v>
      </c>
      <c r="J124" s="29" t="s">
        <v>27</v>
      </c>
      <c r="K124" s="28" t="s">
        <v>137</v>
      </c>
      <c r="L124" s="38">
        <v>7.774</v>
      </c>
      <c r="M124" s="28" t="s">
        <v>137</v>
      </c>
      <c r="N124" s="38">
        <v>6.3419999999999996</v>
      </c>
      <c r="O124" s="28" t="s">
        <v>137</v>
      </c>
      <c r="P124" s="38">
        <v>2.5190000000000001</v>
      </c>
      <c r="Q124" s="38">
        <v>2.5419999999999998</v>
      </c>
      <c r="R124" s="28" t="s">
        <v>137</v>
      </c>
      <c r="S124" s="38">
        <v>11.292999999999999</v>
      </c>
      <c r="T124" s="29">
        <f>COUNT(O119:O130)</f>
        <v>0</v>
      </c>
      <c r="V124" s="42"/>
      <c r="W124" s="42"/>
      <c r="X124" s="42"/>
      <c r="Y124" s="42"/>
      <c r="Z124" s="42"/>
      <c r="AA124" s="42"/>
      <c r="AB124" s="42"/>
      <c r="AC124" s="49"/>
      <c r="AD124" s="50"/>
      <c r="AE124" s="49"/>
      <c r="AF124" s="50"/>
      <c r="AG124" s="49"/>
      <c r="AH124" s="50"/>
      <c r="AI124" s="50"/>
      <c r="AJ124" s="49"/>
      <c r="AK124" s="50"/>
      <c r="AL124" s="42"/>
      <c r="AM124" s="42"/>
      <c r="AN124" s="49"/>
      <c r="AO124" s="49"/>
      <c r="AP124" s="49"/>
      <c r="AQ124" s="49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</row>
    <row r="125" spans="1:53" x14ac:dyDescent="0.2">
      <c r="A125" s="29">
        <v>163</v>
      </c>
      <c r="B125" s="29" t="s">
        <v>68</v>
      </c>
      <c r="C125" s="29" t="s">
        <v>69</v>
      </c>
      <c r="D125" s="29" t="s">
        <v>35</v>
      </c>
      <c r="E125" s="29" t="s">
        <v>36</v>
      </c>
      <c r="F125" s="29" t="s">
        <v>37</v>
      </c>
      <c r="G125" s="36">
        <v>1</v>
      </c>
      <c r="H125" s="40" t="s">
        <v>22</v>
      </c>
      <c r="I125" s="40" t="s">
        <v>22</v>
      </c>
      <c r="J125" s="29" t="s">
        <v>47</v>
      </c>
      <c r="K125" s="28" t="s">
        <v>137</v>
      </c>
      <c r="L125" s="38">
        <v>8.125</v>
      </c>
      <c r="M125" s="28" t="s">
        <v>137</v>
      </c>
      <c r="N125" s="38">
        <v>6.0819999999999999</v>
      </c>
      <c r="O125" s="28" t="s">
        <v>137</v>
      </c>
      <c r="P125" s="38">
        <v>2.766</v>
      </c>
      <c r="Q125" s="38">
        <v>3.0089999999999999</v>
      </c>
      <c r="R125" s="28" t="s">
        <v>137</v>
      </c>
      <c r="S125" s="38">
        <v>11.94</v>
      </c>
      <c r="T125" s="29">
        <f>COUNT(P119:P130)</f>
        <v>12</v>
      </c>
      <c r="V125" s="42"/>
      <c r="W125" s="42"/>
      <c r="X125" s="42"/>
      <c r="Y125" s="42"/>
      <c r="Z125" s="42"/>
      <c r="AA125" s="42"/>
      <c r="AB125" s="42"/>
      <c r="AC125" s="49"/>
      <c r="AD125" s="50"/>
      <c r="AE125" s="49"/>
      <c r="AF125" s="50"/>
      <c r="AG125" s="49"/>
      <c r="AH125" s="50"/>
      <c r="AI125" s="50"/>
      <c r="AJ125" s="49"/>
      <c r="AK125" s="50"/>
      <c r="AL125" s="42"/>
      <c r="AM125" s="42"/>
      <c r="AN125" s="49"/>
      <c r="AO125" s="49"/>
      <c r="AP125" s="49"/>
      <c r="AQ125" s="49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</row>
    <row r="126" spans="1:53" x14ac:dyDescent="0.2">
      <c r="A126" s="29">
        <v>164</v>
      </c>
      <c r="B126" s="29" t="s">
        <v>68</v>
      </c>
      <c r="C126" s="29" t="s">
        <v>69</v>
      </c>
      <c r="D126" s="29" t="s">
        <v>35</v>
      </c>
      <c r="E126" s="29" t="s">
        <v>36</v>
      </c>
      <c r="F126" s="29" t="s">
        <v>37</v>
      </c>
      <c r="G126" s="39">
        <v>2</v>
      </c>
      <c r="H126" s="40" t="s">
        <v>22</v>
      </c>
      <c r="I126" s="40" t="s">
        <v>22</v>
      </c>
      <c r="J126" s="29" t="s">
        <v>51</v>
      </c>
      <c r="K126" s="28" t="s">
        <v>137</v>
      </c>
      <c r="L126" s="38">
        <v>7.7709999999999999</v>
      </c>
      <c r="M126" s="28" t="s">
        <v>137</v>
      </c>
      <c r="N126" s="38">
        <v>6.157</v>
      </c>
      <c r="O126" s="28" t="s">
        <v>137</v>
      </c>
      <c r="P126" s="38">
        <v>2.669</v>
      </c>
      <c r="Q126" s="38">
        <v>2.8879999999999999</v>
      </c>
      <c r="R126" s="28" t="s">
        <v>137</v>
      </c>
      <c r="S126" s="38">
        <v>11.257</v>
      </c>
      <c r="T126" s="29">
        <f>COUNT(Q119:Q130)</f>
        <v>12</v>
      </c>
      <c r="V126" s="42"/>
      <c r="W126" s="42"/>
      <c r="X126" s="42"/>
      <c r="Y126" s="42"/>
      <c r="Z126" s="42"/>
      <c r="AA126" s="42"/>
      <c r="AB126" s="42"/>
      <c r="AC126" s="49"/>
      <c r="AD126" s="50"/>
      <c r="AE126" s="49"/>
      <c r="AF126" s="50"/>
      <c r="AG126" s="49"/>
      <c r="AH126" s="50"/>
      <c r="AI126" s="50"/>
      <c r="AJ126" s="49"/>
      <c r="AK126" s="50"/>
      <c r="AL126" s="42"/>
      <c r="AM126" s="42"/>
      <c r="AN126" s="49"/>
      <c r="AO126" s="49"/>
      <c r="AP126" s="49"/>
      <c r="AQ126" s="49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</row>
    <row r="127" spans="1:53" x14ac:dyDescent="0.2">
      <c r="A127" s="29">
        <v>165</v>
      </c>
      <c r="B127" s="29" t="s">
        <v>68</v>
      </c>
      <c r="C127" s="29" t="s">
        <v>69</v>
      </c>
      <c r="D127" s="29" t="s">
        <v>35</v>
      </c>
      <c r="E127" s="29" t="s">
        <v>36</v>
      </c>
      <c r="F127" s="29" t="s">
        <v>37</v>
      </c>
      <c r="G127" s="41">
        <v>3</v>
      </c>
      <c r="H127" s="40" t="s">
        <v>22</v>
      </c>
      <c r="I127" s="40" t="s">
        <v>22</v>
      </c>
      <c r="J127" s="29" t="s">
        <v>41</v>
      </c>
      <c r="K127" s="28" t="s">
        <v>137</v>
      </c>
      <c r="L127" s="38">
        <v>7.7480000000000002</v>
      </c>
      <c r="M127" s="28" t="s">
        <v>137</v>
      </c>
      <c r="N127" s="38">
        <v>6.3929999999999998</v>
      </c>
      <c r="O127" s="28" t="s">
        <v>137</v>
      </c>
      <c r="P127" s="38">
        <v>2.5249999999999999</v>
      </c>
      <c r="Q127" s="38">
        <v>2.601</v>
      </c>
      <c r="R127" s="28" t="s">
        <v>137</v>
      </c>
      <c r="S127" s="38">
        <v>11.03</v>
      </c>
      <c r="T127" s="29">
        <f>COUNT(R119:R130)</f>
        <v>0</v>
      </c>
      <c r="V127" s="42"/>
      <c r="W127" s="42"/>
      <c r="X127" s="42"/>
      <c r="Y127" s="42"/>
      <c r="Z127" s="42"/>
      <c r="AA127" s="42"/>
      <c r="AB127" s="42"/>
      <c r="AC127" s="49"/>
      <c r="AD127" s="50"/>
      <c r="AE127" s="49"/>
      <c r="AF127" s="50"/>
      <c r="AG127" s="49"/>
      <c r="AH127" s="50"/>
      <c r="AI127" s="50"/>
      <c r="AJ127" s="49"/>
      <c r="AK127" s="50"/>
      <c r="AL127" s="42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</row>
    <row r="128" spans="1:53" x14ac:dyDescent="0.2">
      <c r="A128" s="29">
        <v>166</v>
      </c>
      <c r="B128" s="29" t="s">
        <v>68</v>
      </c>
      <c r="C128" s="29" t="s">
        <v>69</v>
      </c>
      <c r="D128" s="29" t="s">
        <v>35</v>
      </c>
      <c r="E128" s="29" t="s">
        <v>36</v>
      </c>
      <c r="F128" s="29" t="s">
        <v>37</v>
      </c>
      <c r="G128" s="36">
        <v>1</v>
      </c>
      <c r="H128" s="40" t="s">
        <v>22</v>
      </c>
      <c r="I128" s="40" t="s">
        <v>22</v>
      </c>
      <c r="J128" s="29" t="s">
        <v>29</v>
      </c>
      <c r="K128" s="28" t="s">
        <v>137</v>
      </c>
      <c r="L128" s="38">
        <v>7.9569999999999999</v>
      </c>
      <c r="M128" s="28" t="s">
        <v>137</v>
      </c>
      <c r="N128" s="38">
        <v>6.07</v>
      </c>
      <c r="O128" s="28" t="s">
        <v>137</v>
      </c>
      <c r="P128" s="38">
        <v>2.347</v>
      </c>
      <c r="Q128" s="38">
        <v>2.8119999999999998</v>
      </c>
      <c r="R128" s="28" t="s">
        <v>137</v>
      </c>
      <c r="S128" s="38">
        <v>11.154999999999999</v>
      </c>
      <c r="T128" s="29">
        <f>COUNT(S119:S130)</f>
        <v>12</v>
      </c>
      <c r="V128" s="42"/>
      <c r="W128" s="42"/>
      <c r="X128" s="42"/>
      <c r="Y128" s="42"/>
      <c r="Z128" s="42"/>
      <c r="AA128" s="42"/>
      <c r="AB128" s="42"/>
      <c r="AC128" s="49"/>
      <c r="AD128" s="50"/>
      <c r="AE128" s="49"/>
      <c r="AF128" s="50"/>
      <c r="AG128" s="49"/>
      <c r="AH128" s="50"/>
      <c r="AI128" s="50"/>
      <c r="AJ128" s="49"/>
      <c r="AK128" s="50"/>
      <c r="AL128" s="42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</row>
    <row r="129" spans="1:53" x14ac:dyDescent="0.2">
      <c r="A129" s="29">
        <v>167</v>
      </c>
      <c r="B129" s="29" t="s">
        <v>68</v>
      </c>
      <c r="C129" s="29" t="s">
        <v>69</v>
      </c>
      <c r="D129" s="29" t="s">
        <v>35</v>
      </c>
      <c r="E129" s="29" t="s">
        <v>36</v>
      </c>
      <c r="F129" s="29" t="s">
        <v>37</v>
      </c>
      <c r="G129" s="39">
        <v>2</v>
      </c>
      <c r="H129" s="40" t="s">
        <v>22</v>
      </c>
      <c r="I129" s="40" t="s">
        <v>22</v>
      </c>
      <c r="J129" s="29" t="s">
        <v>30</v>
      </c>
      <c r="K129" s="28" t="s">
        <v>137</v>
      </c>
      <c r="L129" s="38">
        <v>7.9</v>
      </c>
      <c r="M129" s="28" t="s">
        <v>137</v>
      </c>
      <c r="N129" s="38">
        <v>5.9279999999999999</v>
      </c>
      <c r="O129" s="28" t="s">
        <v>137</v>
      </c>
      <c r="P129" s="38">
        <v>2.62</v>
      </c>
      <c r="Q129" s="38">
        <v>2.62</v>
      </c>
      <c r="R129" s="28" t="s">
        <v>137</v>
      </c>
      <c r="S129" s="38">
        <v>11.317</v>
      </c>
      <c r="T129" s="29">
        <f>T119-SUM(T120:T128)</f>
        <v>0</v>
      </c>
      <c r="V129" s="42"/>
      <c r="W129" s="42"/>
      <c r="X129" s="42"/>
      <c r="Y129" s="42"/>
      <c r="Z129" s="42"/>
      <c r="AA129" s="42"/>
      <c r="AB129" s="42"/>
      <c r="AC129" s="49"/>
      <c r="AD129" s="50"/>
      <c r="AE129" s="49"/>
      <c r="AF129" s="50"/>
      <c r="AG129" s="49"/>
      <c r="AH129" s="50"/>
      <c r="AI129" s="50"/>
      <c r="AJ129" s="49"/>
      <c r="AK129" s="50"/>
      <c r="AL129" s="42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</row>
    <row r="130" spans="1:53" x14ac:dyDescent="0.2">
      <c r="A130" s="29">
        <v>168</v>
      </c>
      <c r="B130" s="29" t="s">
        <v>68</v>
      </c>
      <c r="C130" s="29" t="s">
        <v>69</v>
      </c>
      <c r="D130" s="29" t="s">
        <v>35</v>
      </c>
      <c r="E130" s="29" t="s">
        <v>36</v>
      </c>
      <c r="F130" s="29" t="s">
        <v>37</v>
      </c>
      <c r="G130" s="41">
        <v>3</v>
      </c>
      <c r="H130" s="40" t="s">
        <v>22</v>
      </c>
      <c r="I130" s="40" t="s">
        <v>22</v>
      </c>
      <c r="J130" s="29" t="s">
        <v>42</v>
      </c>
      <c r="K130" s="28" t="s">
        <v>137</v>
      </c>
      <c r="L130" s="38">
        <v>7.42</v>
      </c>
      <c r="M130" s="28" t="s">
        <v>137</v>
      </c>
      <c r="N130" s="38">
        <v>5.9720000000000004</v>
      </c>
      <c r="O130" s="28" t="s">
        <v>137</v>
      </c>
      <c r="P130" s="38">
        <v>2.3420000000000001</v>
      </c>
      <c r="Q130" s="38">
        <v>2.7149999999999999</v>
      </c>
      <c r="R130" s="28" t="s">
        <v>137</v>
      </c>
      <c r="S130" s="38">
        <v>10.968</v>
      </c>
      <c r="T130" s="29">
        <v>9999</v>
      </c>
      <c r="V130" s="42"/>
      <c r="W130" s="42"/>
      <c r="X130" s="42"/>
      <c r="Y130" s="42"/>
      <c r="Z130" s="42"/>
      <c r="AA130" s="42"/>
      <c r="AB130" s="42"/>
      <c r="AC130" s="49"/>
      <c r="AD130" s="50"/>
      <c r="AE130" s="49"/>
      <c r="AF130" s="50"/>
      <c r="AG130" s="49"/>
      <c r="AH130" s="50"/>
      <c r="AI130" s="50"/>
      <c r="AJ130" s="49"/>
      <c r="AK130" s="50"/>
      <c r="AL130" s="42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</row>
    <row r="131" spans="1:53" s="26" customForma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47"/>
      <c r="L131" s="48"/>
      <c r="M131" s="47"/>
      <c r="N131" s="48"/>
      <c r="O131" s="47"/>
      <c r="P131" s="48"/>
      <c r="Q131" s="48"/>
      <c r="R131" s="47"/>
      <c r="S131" s="48"/>
      <c r="T131" s="21"/>
      <c r="U131" s="25"/>
      <c r="V131" s="42"/>
      <c r="W131" s="42"/>
      <c r="X131" s="42"/>
      <c r="Y131" s="42"/>
      <c r="Z131" s="42"/>
      <c r="AA131" s="42"/>
      <c r="AB131" s="42"/>
      <c r="AC131" s="49"/>
      <c r="AD131" s="50"/>
      <c r="AE131" s="49"/>
      <c r="AF131" s="50"/>
      <c r="AG131" s="49"/>
      <c r="AH131" s="50"/>
      <c r="AI131" s="50"/>
      <c r="AJ131" s="49"/>
      <c r="AK131" s="50"/>
      <c r="AL131" s="42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</row>
    <row r="132" spans="1:53" x14ac:dyDescent="0.2">
      <c r="A132" s="29">
        <v>169</v>
      </c>
      <c r="B132" s="29" t="s">
        <v>76</v>
      </c>
      <c r="C132" s="29" t="s">
        <v>77</v>
      </c>
      <c r="D132" s="29" t="s">
        <v>35</v>
      </c>
      <c r="E132" s="29" t="s">
        <v>36</v>
      </c>
      <c r="F132" s="29" t="s">
        <v>37</v>
      </c>
      <c r="G132" s="36">
        <v>1</v>
      </c>
      <c r="H132" s="40" t="s">
        <v>22</v>
      </c>
      <c r="I132" s="40" t="s">
        <v>22</v>
      </c>
      <c r="J132" s="29" t="s">
        <v>24</v>
      </c>
      <c r="K132" s="28" t="s">
        <v>137</v>
      </c>
      <c r="L132" s="38">
        <v>8.1470000000000002</v>
      </c>
      <c r="M132" s="28" t="s">
        <v>137</v>
      </c>
      <c r="N132" s="38">
        <v>6.1710000000000003</v>
      </c>
      <c r="O132" s="28" t="s">
        <v>137</v>
      </c>
      <c r="P132" s="38">
        <v>2.867</v>
      </c>
      <c r="Q132" s="38">
        <v>3.1019999999999999</v>
      </c>
      <c r="R132" s="28" t="s">
        <v>137</v>
      </c>
      <c r="S132" s="38">
        <v>12.034000000000001</v>
      </c>
      <c r="T132" s="29">
        <f>COUNT(K132:S143)</f>
        <v>60</v>
      </c>
      <c r="V132" s="42"/>
      <c r="W132" s="42"/>
      <c r="X132" s="42"/>
      <c r="Y132" s="42"/>
      <c r="Z132" s="42"/>
      <c r="AA132" s="42"/>
      <c r="AB132" s="42"/>
      <c r="AC132" s="49"/>
      <c r="AD132" s="50"/>
      <c r="AE132" s="49"/>
      <c r="AF132" s="50"/>
      <c r="AG132" s="49"/>
      <c r="AH132" s="50"/>
      <c r="AI132" s="50"/>
      <c r="AJ132" s="49"/>
      <c r="AK132" s="50"/>
      <c r="AL132" s="42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</row>
    <row r="133" spans="1:53" x14ac:dyDescent="0.2">
      <c r="A133" s="29">
        <v>170</v>
      </c>
      <c r="B133" s="29" t="s">
        <v>76</v>
      </c>
      <c r="C133" s="29" t="s">
        <v>77</v>
      </c>
      <c r="D133" s="29" t="s">
        <v>35</v>
      </c>
      <c r="E133" s="29" t="s">
        <v>36</v>
      </c>
      <c r="F133" s="29" t="s">
        <v>37</v>
      </c>
      <c r="G133" s="39">
        <v>2</v>
      </c>
      <c r="H133" s="40" t="s">
        <v>22</v>
      </c>
      <c r="I133" s="40" t="s">
        <v>22</v>
      </c>
      <c r="J133" s="29" t="s">
        <v>45</v>
      </c>
      <c r="K133" s="28" t="s">
        <v>137</v>
      </c>
      <c r="L133" s="38">
        <v>7.8019999999999996</v>
      </c>
      <c r="M133" s="28" t="s">
        <v>137</v>
      </c>
      <c r="N133" s="38">
        <v>6.2160000000000002</v>
      </c>
      <c r="O133" s="28" t="s">
        <v>137</v>
      </c>
      <c r="P133" s="38">
        <v>2.706</v>
      </c>
      <c r="Q133" s="38">
        <v>2.9609999999999999</v>
      </c>
      <c r="R133" s="28" t="s">
        <v>137</v>
      </c>
      <c r="S133" s="38">
        <v>11.393000000000001</v>
      </c>
      <c r="T133" s="29">
        <f>COUNT(K132:K143)</f>
        <v>0</v>
      </c>
      <c r="V133" s="42"/>
      <c r="W133" s="42"/>
      <c r="X133" s="42"/>
      <c r="Y133" s="42"/>
      <c r="Z133" s="42"/>
      <c r="AA133" s="42"/>
      <c r="AB133" s="42"/>
      <c r="AC133" s="49"/>
      <c r="AD133" s="50"/>
      <c r="AE133" s="49"/>
      <c r="AF133" s="50"/>
      <c r="AG133" s="49"/>
      <c r="AH133" s="50"/>
      <c r="AI133" s="50"/>
      <c r="AJ133" s="49"/>
      <c r="AK133" s="50"/>
      <c r="AL133" s="42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</row>
    <row r="134" spans="1:53" x14ac:dyDescent="0.2">
      <c r="A134" s="29">
        <v>171</v>
      </c>
      <c r="B134" s="29" t="s">
        <v>76</v>
      </c>
      <c r="C134" s="29" t="s">
        <v>77</v>
      </c>
      <c r="D134" s="29" t="s">
        <v>35</v>
      </c>
      <c r="E134" s="29" t="s">
        <v>36</v>
      </c>
      <c r="F134" s="29" t="s">
        <v>37</v>
      </c>
      <c r="G134" s="41">
        <v>3</v>
      </c>
      <c r="H134" s="40" t="s">
        <v>22</v>
      </c>
      <c r="I134" s="40" t="s">
        <v>22</v>
      </c>
      <c r="J134" s="29" t="s">
        <v>46</v>
      </c>
      <c r="K134" s="28" t="s">
        <v>137</v>
      </c>
      <c r="L134" s="38">
        <v>7.8079999999999998</v>
      </c>
      <c r="M134" s="28" t="s">
        <v>137</v>
      </c>
      <c r="N134" s="38">
        <v>6.46</v>
      </c>
      <c r="O134" s="28" t="s">
        <v>137</v>
      </c>
      <c r="P134" s="38">
        <v>2.585</v>
      </c>
      <c r="Q134" s="38">
        <v>2.6880000000000002</v>
      </c>
      <c r="R134" s="28" t="s">
        <v>137</v>
      </c>
      <c r="S134" s="38">
        <v>11.206</v>
      </c>
      <c r="T134" s="29">
        <f>COUNT(L132:L143)</f>
        <v>12</v>
      </c>
      <c r="V134" s="42"/>
      <c r="W134" s="42"/>
      <c r="X134" s="42"/>
      <c r="Y134" s="42"/>
      <c r="Z134" s="42"/>
      <c r="AA134" s="42"/>
      <c r="AB134" s="42"/>
      <c r="AC134" s="49"/>
      <c r="AD134" s="50"/>
      <c r="AE134" s="49"/>
      <c r="AF134" s="50"/>
      <c r="AG134" s="49"/>
      <c r="AH134" s="50"/>
      <c r="AI134" s="50"/>
      <c r="AJ134" s="49"/>
      <c r="AK134" s="50"/>
      <c r="AL134" s="42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</row>
    <row r="135" spans="1:53" x14ac:dyDescent="0.2">
      <c r="A135" s="29">
        <v>172</v>
      </c>
      <c r="B135" s="29" t="s">
        <v>76</v>
      </c>
      <c r="C135" s="29" t="s">
        <v>77</v>
      </c>
      <c r="D135" s="29" t="s">
        <v>35</v>
      </c>
      <c r="E135" s="29" t="s">
        <v>36</v>
      </c>
      <c r="F135" s="29" t="s">
        <v>37</v>
      </c>
      <c r="G135" s="36">
        <v>1</v>
      </c>
      <c r="H135" s="40" t="s">
        <v>22</v>
      </c>
      <c r="I135" s="40" t="s">
        <v>22</v>
      </c>
      <c r="J135" s="29" t="s">
        <v>25</v>
      </c>
      <c r="K135" s="28" t="s">
        <v>137</v>
      </c>
      <c r="L135" s="38">
        <v>8.0419999999999998</v>
      </c>
      <c r="M135" s="28" t="s">
        <v>137</v>
      </c>
      <c r="N135" s="38">
        <v>6.1790000000000003</v>
      </c>
      <c r="O135" s="28" t="s">
        <v>137</v>
      </c>
      <c r="P135" s="38">
        <v>2.4990000000000001</v>
      </c>
      <c r="Q135" s="38">
        <v>2.9239999999999999</v>
      </c>
      <c r="R135" s="28" t="s">
        <v>137</v>
      </c>
      <c r="S135" s="38">
        <v>11.617000000000001</v>
      </c>
      <c r="T135" s="29">
        <f>COUNT(M132:M143)</f>
        <v>0</v>
      </c>
      <c r="V135" s="42"/>
      <c r="W135" s="42"/>
      <c r="X135" s="42"/>
      <c r="Y135" s="42"/>
      <c r="Z135" s="42"/>
      <c r="AA135" s="42"/>
      <c r="AB135" s="42"/>
      <c r="AC135" s="49"/>
      <c r="AD135" s="50"/>
      <c r="AE135" s="49"/>
      <c r="AF135" s="50"/>
      <c r="AG135" s="49"/>
      <c r="AH135" s="50"/>
      <c r="AI135" s="50"/>
      <c r="AJ135" s="49"/>
      <c r="AK135" s="50"/>
      <c r="AL135" s="42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</row>
    <row r="136" spans="1:53" x14ac:dyDescent="0.2">
      <c r="A136" s="29">
        <v>173</v>
      </c>
      <c r="B136" s="29" t="s">
        <v>76</v>
      </c>
      <c r="C136" s="29" t="s">
        <v>77</v>
      </c>
      <c r="D136" s="29" t="s">
        <v>35</v>
      </c>
      <c r="E136" s="29" t="s">
        <v>36</v>
      </c>
      <c r="F136" s="29" t="s">
        <v>37</v>
      </c>
      <c r="G136" s="39">
        <v>2</v>
      </c>
      <c r="H136" s="40" t="s">
        <v>22</v>
      </c>
      <c r="I136" s="40" t="s">
        <v>22</v>
      </c>
      <c r="J136" s="29" t="s">
        <v>26</v>
      </c>
      <c r="K136" s="28" t="s">
        <v>137</v>
      </c>
      <c r="L136" s="38">
        <v>7.9950000000000001</v>
      </c>
      <c r="M136" s="28" t="s">
        <v>137</v>
      </c>
      <c r="N136" s="38">
        <v>6.0209999999999999</v>
      </c>
      <c r="O136" s="28" t="s">
        <v>137</v>
      </c>
      <c r="P136" s="38">
        <v>2.6579999999999999</v>
      </c>
      <c r="Q136" s="38">
        <v>2.681</v>
      </c>
      <c r="R136" s="28" t="s">
        <v>137</v>
      </c>
      <c r="S136" s="38">
        <v>11.689</v>
      </c>
      <c r="T136" s="29">
        <f>COUNT(N132:N143)</f>
        <v>12</v>
      </c>
      <c r="V136" s="42"/>
      <c r="W136" s="42"/>
      <c r="X136" s="42"/>
      <c r="Y136" s="42"/>
      <c r="Z136" s="42"/>
      <c r="AA136" s="42"/>
      <c r="AB136" s="42"/>
      <c r="AC136" s="49"/>
      <c r="AD136" s="50"/>
      <c r="AE136" s="49"/>
      <c r="AF136" s="50"/>
      <c r="AG136" s="49"/>
      <c r="AH136" s="50"/>
      <c r="AI136" s="50"/>
      <c r="AJ136" s="49"/>
      <c r="AK136" s="50"/>
      <c r="AL136" s="42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</row>
    <row r="137" spans="1:53" x14ac:dyDescent="0.2">
      <c r="A137" s="29">
        <v>174</v>
      </c>
      <c r="B137" s="29" t="s">
        <v>76</v>
      </c>
      <c r="C137" s="29" t="s">
        <v>77</v>
      </c>
      <c r="D137" s="29" t="s">
        <v>35</v>
      </c>
      <c r="E137" s="29" t="s">
        <v>36</v>
      </c>
      <c r="F137" s="29" t="s">
        <v>37</v>
      </c>
      <c r="G137" s="41">
        <v>3</v>
      </c>
      <c r="H137" s="40" t="s">
        <v>22</v>
      </c>
      <c r="I137" s="40" t="s">
        <v>22</v>
      </c>
      <c r="J137" s="29" t="s">
        <v>27</v>
      </c>
      <c r="K137" s="28" t="s">
        <v>137</v>
      </c>
      <c r="L137" s="38">
        <v>7.7359999999999998</v>
      </c>
      <c r="M137" s="28" t="s">
        <v>137</v>
      </c>
      <c r="N137" s="38">
        <v>6.3019999999999996</v>
      </c>
      <c r="O137" s="28" t="s">
        <v>137</v>
      </c>
      <c r="P137" s="38">
        <v>2.488</v>
      </c>
      <c r="Q137" s="38">
        <v>2.488</v>
      </c>
      <c r="R137" s="28" t="s">
        <v>137</v>
      </c>
      <c r="S137" s="38">
        <v>11.343999999999999</v>
      </c>
      <c r="T137" s="29">
        <f>COUNT(O132:O143)</f>
        <v>0</v>
      </c>
      <c r="V137" s="42"/>
      <c r="W137" s="42"/>
      <c r="X137" s="42"/>
      <c r="Y137" s="42"/>
      <c r="Z137" s="42"/>
      <c r="AA137" s="42"/>
      <c r="AB137" s="42"/>
      <c r="AC137" s="49"/>
      <c r="AD137" s="50"/>
      <c r="AE137" s="49"/>
      <c r="AF137" s="50"/>
      <c r="AG137" s="49"/>
      <c r="AH137" s="50"/>
      <c r="AI137" s="50"/>
      <c r="AJ137" s="49"/>
      <c r="AK137" s="50"/>
      <c r="AL137" s="42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</row>
    <row r="138" spans="1:53" x14ac:dyDescent="0.2">
      <c r="A138" s="29">
        <v>175</v>
      </c>
      <c r="B138" s="29" t="s">
        <v>76</v>
      </c>
      <c r="C138" s="29" t="s">
        <v>77</v>
      </c>
      <c r="D138" s="29" t="s">
        <v>35</v>
      </c>
      <c r="E138" s="29" t="s">
        <v>36</v>
      </c>
      <c r="F138" s="29" t="s">
        <v>37</v>
      </c>
      <c r="G138" s="36">
        <v>1</v>
      </c>
      <c r="H138" s="40" t="s">
        <v>22</v>
      </c>
      <c r="I138" s="40" t="s">
        <v>22</v>
      </c>
      <c r="J138" s="29" t="s">
        <v>47</v>
      </c>
      <c r="K138" s="28" t="s">
        <v>137</v>
      </c>
      <c r="L138" s="38">
        <v>8.1780000000000008</v>
      </c>
      <c r="M138" s="28" t="s">
        <v>137</v>
      </c>
      <c r="N138" s="38">
        <v>6.2130000000000001</v>
      </c>
      <c r="O138" s="28" t="s">
        <v>137</v>
      </c>
      <c r="P138" s="38">
        <v>2.8210000000000002</v>
      </c>
      <c r="Q138" s="38">
        <v>3.113</v>
      </c>
      <c r="R138" s="28" t="s">
        <v>137</v>
      </c>
      <c r="S138" s="38">
        <v>11.959</v>
      </c>
      <c r="T138" s="29">
        <f>COUNT(P132:P143)</f>
        <v>12</v>
      </c>
      <c r="V138" s="42"/>
      <c r="W138" s="42"/>
      <c r="X138" s="42"/>
      <c r="Y138" s="42"/>
      <c r="Z138" s="42"/>
      <c r="AA138" s="42"/>
      <c r="AB138" s="42"/>
      <c r="AC138" s="49"/>
      <c r="AD138" s="50"/>
      <c r="AE138" s="49"/>
      <c r="AF138" s="50"/>
      <c r="AG138" s="49"/>
      <c r="AH138" s="50"/>
      <c r="AI138" s="50"/>
      <c r="AJ138" s="49"/>
      <c r="AK138" s="50"/>
      <c r="AL138" s="42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</row>
    <row r="139" spans="1:53" x14ac:dyDescent="0.2">
      <c r="A139" s="29">
        <v>176</v>
      </c>
      <c r="B139" s="29" t="s">
        <v>76</v>
      </c>
      <c r="C139" s="29" t="s">
        <v>77</v>
      </c>
      <c r="D139" s="29" t="s">
        <v>35</v>
      </c>
      <c r="E139" s="29" t="s">
        <v>36</v>
      </c>
      <c r="F139" s="29" t="s">
        <v>37</v>
      </c>
      <c r="G139" s="39">
        <v>2</v>
      </c>
      <c r="H139" s="40" t="s">
        <v>22</v>
      </c>
      <c r="I139" s="40" t="s">
        <v>22</v>
      </c>
      <c r="J139" s="29" t="s">
        <v>51</v>
      </c>
      <c r="K139" s="28" t="s">
        <v>137</v>
      </c>
      <c r="L139" s="38">
        <v>7.8780000000000001</v>
      </c>
      <c r="M139" s="28" t="s">
        <v>137</v>
      </c>
      <c r="N139" s="38">
        <v>6.26</v>
      </c>
      <c r="O139" s="28" t="s">
        <v>137</v>
      </c>
      <c r="P139" s="38">
        <v>2.7330000000000001</v>
      </c>
      <c r="Q139" s="38">
        <v>2.9969999999999999</v>
      </c>
      <c r="R139" s="28" t="s">
        <v>137</v>
      </c>
      <c r="S139" s="38">
        <v>11.355</v>
      </c>
      <c r="T139" s="29">
        <f>COUNT(Q132:Q143)</f>
        <v>12</v>
      </c>
      <c r="V139" s="42"/>
      <c r="W139" s="42"/>
      <c r="X139" s="42"/>
      <c r="Y139" s="42"/>
      <c r="Z139" s="42"/>
      <c r="AA139" s="42"/>
      <c r="AB139" s="42"/>
      <c r="AC139" s="49"/>
      <c r="AD139" s="50"/>
      <c r="AE139" s="49"/>
      <c r="AF139" s="50"/>
      <c r="AG139" s="49"/>
      <c r="AH139" s="50"/>
      <c r="AI139" s="50"/>
      <c r="AJ139" s="49"/>
      <c r="AK139" s="50"/>
      <c r="AL139" s="42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</row>
    <row r="140" spans="1:53" x14ac:dyDescent="0.2">
      <c r="A140" s="29">
        <v>177</v>
      </c>
      <c r="B140" s="29" t="s">
        <v>76</v>
      </c>
      <c r="C140" s="29" t="s">
        <v>77</v>
      </c>
      <c r="D140" s="29" t="s">
        <v>35</v>
      </c>
      <c r="E140" s="29" t="s">
        <v>36</v>
      </c>
      <c r="F140" s="29" t="s">
        <v>37</v>
      </c>
      <c r="G140" s="41">
        <v>3</v>
      </c>
      <c r="H140" s="40" t="s">
        <v>22</v>
      </c>
      <c r="I140" s="40" t="s">
        <v>22</v>
      </c>
      <c r="J140" s="29" t="s">
        <v>41</v>
      </c>
      <c r="K140" s="28" t="s">
        <v>137</v>
      </c>
      <c r="L140" s="38">
        <v>7.8019999999999996</v>
      </c>
      <c r="M140" s="28" t="s">
        <v>137</v>
      </c>
      <c r="N140" s="38">
        <v>6.5209999999999999</v>
      </c>
      <c r="O140" s="28" t="s">
        <v>137</v>
      </c>
      <c r="P140" s="38">
        <v>2.6110000000000002</v>
      </c>
      <c r="Q140" s="38">
        <v>2.673</v>
      </c>
      <c r="R140" s="28" t="s">
        <v>137</v>
      </c>
      <c r="S140" s="38">
        <v>11.086</v>
      </c>
      <c r="T140" s="29">
        <f>COUNT(R132:R143)</f>
        <v>0</v>
      </c>
      <c r="V140" s="42"/>
      <c r="W140" s="42"/>
      <c r="X140" s="42"/>
      <c r="Y140" s="42"/>
      <c r="Z140" s="42"/>
      <c r="AA140" s="42"/>
      <c r="AB140" s="42"/>
      <c r="AC140" s="49"/>
      <c r="AD140" s="50"/>
      <c r="AE140" s="49"/>
      <c r="AF140" s="50"/>
      <c r="AG140" s="49"/>
      <c r="AH140" s="50"/>
      <c r="AI140" s="50"/>
      <c r="AJ140" s="49"/>
      <c r="AK140" s="50"/>
      <c r="AL140" s="42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</row>
    <row r="141" spans="1:53" x14ac:dyDescent="0.2">
      <c r="A141" s="29">
        <v>178</v>
      </c>
      <c r="B141" s="29" t="s">
        <v>76</v>
      </c>
      <c r="C141" s="29" t="s">
        <v>77</v>
      </c>
      <c r="D141" s="29" t="s">
        <v>35</v>
      </c>
      <c r="E141" s="29" t="s">
        <v>36</v>
      </c>
      <c r="F141" s="29" t="s">
        <v>37</v>
      </c>
      <c r="G141" s="36">
        <v>1</v>
      </c>
      <c r="H141" s="40" t="s">
        <v>22</v>
      </c>
      <c r="I141" s="40" t="s">
        <v>22</v>
      </c>
      <c r="J141" s="29" t="s">
        <v>29</v>
      </c>
      <c r="K141" s="28" t="s">
        <v>137</v>
      </c>
      <c r="L141" s="38">
        <v>8.1750000000000007</v>
      </c>
      <c r="M141" s="28" t="s">
        <v>137</v>
      </c>
      <c r="N141" s="38">
        <v>6.3049999999999997</v>
      </c>
      <c r="O141" s="28" t="s">
        <v>137</v>
      </c>
      <c r="P141" s="38">
        <v>2.73</v>
      </c>
      <c r="Q141" s="38">
        <v>2.9169999999999998</v>
      </c>
      <c r="R141" s="28" t="s">
        <v>137</v>
      </c>
      <c r="S141" s="38">
        <v>11.579000000000001</v>
      </c>
      <c r="T141" s="29">
        <f>COUNT(S132:S143)</f>
        <v>12</v>
      </c>
      <c r="V141" s="42"/>
      <c r="W141" s="42"/>
      <c r="X141" s="42"/>
      <c r="Y141" s="42"/>
      <c r="Z141" s="42"/>
      <c r="AA141" s="42"/>
      <c r="AB141" s="42"/>
      <c r="AC141" s="49"/>
      <c r="AD141" s="50"/>
      <c r="AE141" s="49"/>
      <c r="AF141" s="50"/>
      <c r="AG141" s="49"/>
      <c r="AH141" s="50"/>
      <c r="AI141" s="50"/>
      <c r="AJ141" s="49"/>
      <c r="AK141" s="50"/>
      <c r="AL141" s="42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</row>
    <row r="142" spans="1:53" x14ac:dyDescent="0.2">
      <c r="A142" s="29">
        <v>179</v>
      </c>
      <c r="B142" s="29" t="s">
        <v>76</v>
      </c>
      <c r="C142" s="29" t="s">
        <v>77</v>
      </c>
      <c r="D142" s="29" t="s">
        <v>35</v>
      </c>
      <c r="E142" s="29" t="s">
        <v>36</v>
      </c>
      <c r="F142" s="29" t="s">
        <v>37</v>
      </c>
      <c r="G142" s="39">
        <v>2</v>
      </c>
      <c r="H142" s="40" t="s">
        <v>22</v>
      </c>
      <c r="I142" s="40" t="s">
        <v>22</v>
      </c>
      <c r="J142" s="29" t="s">
        <v>42</v>
      </c>
      <c r="K142" s="28" t="s">
        <v>137</v>
      </c>
      <c r="L142" s="38">
        <v>7.6130000000000004</v>
      </c>
      <c r="M142" s="28" t="s">
        <v>137</v>
      </c>
      <c r="N142" s="38">
        <v>6.11</v>
      </c>
      <c r="O142" s="28" t="s">
        <v>137</v>
      </c>
      <c r="P142" s="38">
        <v>2.6019999999999999</v>
      </c>
      <c r="Q142" s="38">
        <v>2.7909999999999999</v>
      </c>
      <c r="R142" s="28" t="s">
        <v>137</v>
      </c>
      <c r="S142" s="38">
        <v>11.519</v>
      </c>
      <c r="T142" s="29">
        <f>T132-SUM(T133:T141)</f>
        <v>0</v>
      </c>
      <c r="V142" s="42"/>
      <c r="W142" s="42"/>
      <c r="X142" s="42"/>
      <c r="Y142" s="42"/>
      <c r="Z142" s="42"/>
      <c r="AA142" s="42"/>
      <c r="AB142" s="42"/>
      <c r="AC142" s="49"/>
      <c r="AD142" s="50"/>
      <c r="AE142" s="49"/>
      <c r="AF142" s="50"/>
      <c r="AG142" s="49"/>
      <c r="AH142" s="50"/>
      <c r="AI142" s="50"/>
      <c r="AJ142" s="49"/>
      <c r="AK142" s="50"/>
      <c r="AL142" s="42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</row>
    <row r="143" spans="1:53" x14ac:dyDescent="0.2">
      <c r="A143" s="29">
        <v>180</v>
      </c>
      <c r="B143" s="29" t="s">
        <v>76</v>
      </c>
      <c r="C143" s="29" t="s">
        <v>77</v>
      </c>
      <c r="D143" s="29" t="s">
        <v>35</v>
      </c>
      <c r="E143" s="29" t="s">
        <v>36</v>
      </c>
      <c r="F143" s="29" t="s">
        <v>37</v>
      </c>
      <c r="G143" s="41">
        <v>3</v>
      </c>
      <c r="H143" s="40" t="s">
        <v>22</v>
      </c>
      <c r="I143" s="40" t="s">
        <v>22</v>
      </c>
      <c r="J143" s="29" t="s">
        <v>31</v>
      </c>
      <c r="K143" s="28" t="s">
        <v>137</v>
      </c>
      <c r="L143" s="38">
        <v>7.9189999999999996</v>
      </c>
      <c r="M143" s="28" t="s">
        <v>137</v>
      </c>
      <c r="N143" s="38">
        <v>6.2619999999999996</v>
      </c>
      <c r="O143" s="28" t="s">
        <v>137</v>
      </c>
      <c r="P143" s="38">
        <v>2.5880000000000001</v>
      </c>
      <c r="Q143" s="38">
        <v>2.8479999999999999</v>
      </c>
      <c r="R143" s="28" t="s">
        <v>137</v>
      </c>
      <c r="S143" s="38">
        <v>11.324</v>
      </c>
      <c r="T143" s="29">
        <v>9999</v>
      </c>
      <c r="V143" s="42"/>
      <c r="W143" s="42"/>
      <c r="X143" s="42"/>
      <c r="Y143" s="42"/>
      <c r="Z143" s="42"/>
      <c r="AA143" s="42"/>
      <c r="AB143" s="42"/>
      <c r="AC143" s="49"/>
      <c r="AD143" s="50"/>
      <c r="AE143" s="49"/>
      <c r="AF143" s="50"/>
      <c r="AG143" s="49"/>
      <c r="AH143" s="50"/>
      <c r="AI143" s="50"/>
      <c r="AJ143" s="49"/>
      <c r="AK143" s="50"/>
      <c r="AL143" s="42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</row>
    <row r="144" spans="1:53" s="26" customForma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47"/>
      <c r="L144" s="48"/>
      <c r="M144" s="47"/>
      <c r="N144" s="48"/>
      <c r="O144" s="47"/>
      <c r="P144" s="48"/>
      <c r="Q144" s="48"/>
      <c r="R144" s="47"/>
      <c r="S144" s="48"/>
      <c r="T144" s="21"/>
      <c r="U144" s="25"/>
      <c r="V144" s="42"/>
      <c r="W144" s="42"/>
      <c r="X144" s="42"/>
      <c r="Y144" s="42"/>
      <c r="Z144" s="42"/>
      <c r="AA144" s="42"/>
      <c r="AB144" s="42"/>
      <c r="AC144" s="49"/>
      <c r="AD144" s="50"/>
      <c r="AE144" s="49"/>
      <c r="AF144" s="50"/>
      <c r="AG144" s="49"/>
      <c r="AH144" s="50"/>
      <c r="AI144" s="50"/>
      <c r="AJ144" s="49"/>
      <c r="AK144" s="50"/>
      <c r="AL144" s="42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</row>
    <row r="145" spans="1:53" x14ac:dyDescent="0.2">
      <c r="A145" s="29">
        <v>241</v>
      </c>
      <c r="B145" s="29" t="s">
        <v>48</v>
      </c>
      <c r="C145" s="29" t="s">
        <v>49</v>
      </c>
      <c r="D145" s="29" t="s">
        <v>35</v>
      </c>
      <c r="E145" s="29" t="s">
        <v>36</v>
      </c>
      <c r="F145" s="29" t="s">
        <v>37</v>
      </c>
      <c r="G145" s="36">
        <v>1</v>
      </c>
      <c r="H145" s="40" t="s">
        <v>22</v>
      </c>
      <c r="I145" s="40" t="s">
        <v>22</v>
      </c>
      <c r="J145" s="29" t="s">
        <v>24</v>
      </c>
      <c r="K145" s="28" t="s">
        <v>137</v>
      </c>
      <c r="L145" s="38">
        <v>8.0649999999999995</v>
      </c>
      <c r="M145" s="28" t="s">
        <v>137</v>
      </c>
      <c r="N145" s="38">
        <v>6.0659999999999998</v>
      </c>
      <c r="O145" s="28" t="s">
        <v>137</v>
      </c>
      <c r="P145" s="38">
        <v>2.74</v>
      </c>
      <c r="Q145" s="38">
        <v>2.9359999999999999</v>
      </c>
      <c r="R145" s="28" t="s">
        <v>137</v>
      </c>
      <c r="S145" s="38" t="s">
        <v>137</v>
      </c>
      <c r="T145" s="29">
        <f>COUNT(K145:S156)</f>
        <v>48</v>
      </c>
      <c r="V145" s="42"/>
      <c r="W145" s="42"/>
      <c r="X145" s="42"/>
      <c r="Y145" s="42"/>
      <c r="Z145" s="42"/>
      <c r="AA145" s="42"/>
      <c r="AB145" s="42"/>
      <c r="AC145" s="50"/>
      <c r="AD145" s="50"/>
      <c r="AE145" s="49"/>
      <c r="AF145" s="50"/>
      <c r="AG145" s="49"/>
      <c r="AH145" s="42"/>
      <c r="AI145" s="42"/>
      <c r="AJ145" s="42"/>
      <c r="AK145" s="42"/>
      <c r="AL145" s="42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</row>
    <row r="146" spans="1:53" x14ac:dyDescent="0.2">
      <c r="A146" s="29">
        <v>242</v>
      </c>
      <c r="B146" s="29" t="s">
        <v>48</v>
      </c>
      <c r="C146" s="29" t="s">
        <v>49</v>
      </c>
      <c r="D146" s="29" t="s">
        <v>35</v>
      </c>
      <c r="E146" s="29" t="s">
        <v>36</v>
      </c>
      <c r="F146" s="29" t="s">
        <v>37</v>
      </c>
      <c r="G146" s="39">
        <v>2</v>
      </c>
      <c r="H146" s="40" t="s">
        <v>22</v>
      </c>
      <c r="I146" s="40" t="s">
        <v>22</v>
      </c>
      <c r="J146" s="29" t="s">
        <v>45</v>
      </c>
      <c r="K146" s="28" t="s">
        <v>137</v>
      </c>
      <c r="L146" s="38">
        <v>7.7489999999999997</v>
      </c>
      <c r="M146" s="28" t="s">
        <v>137</v>
      </c>
      <c r="N146" s="38">
        <v>6.1059999999999999</v>
      </c>
      <c r="O146" s="28" t="s">
        <v>137</v>
      </c>
      <c r="P146" s="38">
        <v>2.6059999999999999</v>
      </c>
      <c r="Q146" s="38">
        <v>2.7469999999999999</v>
      </c>
      <c r="R146" s="28" t="s">
        <v>137</v>
      </c>
      <c r="S146" s="38" t="s">
        <v>137</v>
      </c>
      <c r="T146" s="29">
        <f>COUNT(K145:K156)</f>
        <v>0</v>
      </c>
      <c r="V146" s="42"/>
      <c r="W146" s="42"/>
      <c r="X146" s="42"/>
      <c r="Y146" s="42"/>
      <c r="Z146" s="42"/>
      <c r="AA146" s="42"/>
      <c r="AB146" s="42"/>
      <c r="AC146" s="50"/>
      <c r="AD146" s="50"/>
      <c r="AE146" s="49"/>
      <c r="AF146" s="50"/>
      <c r="AG146" s="49"/>
      <c r="AH146" s="42"/>
      <c r="AI146" s="42"/>
      <c r="AJ146" s="42"/>
      <c r="AK146" s="42"/>
      <c r="AL146" s="42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</row>
    <row r="147" spans="1:53" x14ac:dyDescent="0.2">
      <c r="A147" s="29">
        <v>243</v>
      </c>
      <c r="B147" s="29" t="s">
        <v>48</v>
      </c>
      <c r="C147" s="29" t="s">
        <v>49</v>
      </c>
      <c r="D147" s="29" t="s">
        <v>35</v>
      </c>
      <c r="E147" s="29" t="s">
        <v>36</v>
      </c>
      <c r="F147" s="29" t="s">
        <v>37</v>
      </c>
      <c r="G147" s="41">
        <v>3</v>
      </c>
      <c r="H147" s="40" t="s">
        <v>22</v>
      </c>
      <c r="I147" s="40" t="s">
        <v>22</v>
      </c>
      <c r="J147" s="29" t="s">
        <v>46</v>
      </c>
      <c r="K147" s="28" t="s">
        <v>137</v>
      </c>
      <c r="L147" s="38">
        <v>7.8470000000000004</v>
      </c>
      <c r="M147" s="28" t="s">
        <v>137</v>
      </c>
      <c r="N147" s="38">
        <v>6.258</v>
      </c>
      <c r="O147" s="28" t="s">
        <v>137</v>
      </c>
      <c r="P147" s="38">
        <v>2.448</v>
      </c>
      <c r="Q147" s="38">
        <v>2.7589999999999999</v>
      </c>
      <c r="R147" s="28" t="s">
        <v>137</v>
      </c>
      <c r="S147" s="38" t="s">
        <v>137</v>
      </c>
      <c r="T147" s="29">
        <f>COUNT(L145:L156)</f>
        <v>12</v>
      </c>
      <c r="V147" s="42"/>
      <c r="W147" s="42"/>
      <c r="X147" s="42"/>
      <c r="Y147" s="42"/>
      <c r="Z147" s="42"/>
      <c r="AA147" s="42"/>
      <c r="AB147" s="42"/>
      <c r="AC147" s="50"/>
      <c r="AD147" s="50"/>
      <c r="AE147" s="49"/>
      <c r="AF147" s="50"/>
      <c r="AG147" s="49"/>
      <c r="AH147" s="42"/>
      <c r="AI147" s="42"/>
      <c r="AJ147" s="42"/>
      <c r="AK147" s="42"/>
      <c r="AL147" s="42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</row>
    <row r="148" spans="1:53" x14ac:dyDescent="0.2">
      <c r="A148" s="29">
        <v>244</v>
      </c>
      <c r="B148" s="29" t="s">
        <v>48</v>
      </c>
      <c r="C148" s="29" t="s">
        <v>49</v>
      </c>
      <c r="D148" s="29" t="s">
        <v>35</v>
      </c>
      <c r="E148" s="29" t="s">
        <v>36</v>
      </c>
      <c r="F148" s="29" t="s">
        <v>37</v>
      </c>
      <c r="G148" s="36">
        <v>1</v>
      </c>
      <c r="H148" s="40" t="s">
        <v>22</v>
      </c>
      <c r="I148" s="40" t="s">
        <v>22</v>
      </c>
      <c r="J148" s="29" t="s">
        <v>27</v>
      </c>
      <c r="K148" s="28" t="s">
        <v>137</v>
      </c>
      <c r="L148" s="38">
        <v>8.125</v>
      </c>
      <c r="M148" s="28" t="s">
        <v>137</v>
      </c>
      <c r="N148" s="38">
        <v>6.1390000000000002</v>
      </c>
      <c r="O148" s="28" t="s">
        <v>137</v>
      </c>
      <c r="P148" s="38">
        <v>2.64</v>
      </c>
      <c r="Q148" s="38">
        <v>2.9550000000000001</v>
      </c>
      <c r="R148" s="28" t="s">
        <v>137</v>
      </c>
      <c r="S148" s="38" t="s">
        <v>137</v>
      </c>
      <c r="T148" s="29">
        <f>COUNT(M145:M156)</f>
        <v>0</v>
      </c>
      <c r="V148" s="42"/>
      <c r="W148" s="42"/>
      <c r="X148" s="42"/>
      <c r="Y148" s="42"/>
      <c r="Z148" s="42"/>
      <c r="AA148" s="42"/>
      <c r="AB148" s="42"/>
      <c r="AC148" s="50"/>
      <c r="AD148" s="50"/>
      <c r="AE148" s="49"/>
      <c r="AF148" s="50"/>
      <c r="AG148" s="49"/>
      <c r="AH148" s="42"/>
      <c r="AI148" s="42"/>
      <c r="AJ148" s="42"/>
      <c r="AK148" s="42"/>
      <c r="AL148" s="42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</row>
    <row r="149" spans="1:53" x14ac:dyDescent="0.2">
      <c r="A149" s="29">
        <v>245</v>
      </c>
      <c r="B149" s="29" t="s">
        <v>48</v>
      </c>
      <c r="C149" s="29" t="s">
        <v>49</v>
      </c>
      <c r="D149" s="29" t="s">
        <v>35</v>
      </c>
      <c r="E149" s="29" t="s">
        <v>36</v>
      </c>
      <c r="F149" s="29" t="s">
        <v>37</v>
      </c>
      <c r="G149" s="39">
        <v>2</v>
      </c>
      <c r="H149" s="40" t="s">
        <v>22</v>
      </c>
      <c r="I149" s="40" t="s">
        <v>22</v>
      </c>
      <c r="J149" s="29" t="s">
        <v>50</v>
      </c>
      <c r="K149" s="28" t="s">
        <v>137</v>
      </c>
      <c r="L149" s="38">
        <v>7.8109999999999999</v>
      </c>
      <c r="M149" s="28" t="s">
        <v>137</v>
      </c>
      <c r="N149" s="38">
        <v>6.1079999999999997</v>
      </c>
      <c r="O149" s="28" t="s">
        <v>137</v>
      </c>
      <c r="P149" s="38">
        <v>2.6349999999999998</v>
      </c>
      <c r="Q149" s="38">
        <v>2.8109999999999999</v>
      </c>
      <c r="R149" s="28" t="s">
        <v>137</v>
      </c>
      <c r="S149" s="38" t="s">
        <v>137</v>
      </c>
      <c r="T149" s="29">
        <f>COUNT(N145:N156)</f>
        <v>12</v>
      </c>
      <c r="V149" s="42"/>
      <c r="W149" s="42"/>
      <c r="X149" s="42"/>
      <c r="Y149" s="42"/>
      <c r="Z149" s="42"/>
      <c r="AA149" s="42"/>
      <c r="AB149" s="42"/>
      <c r="AC149" s="50"/>
      <c r="AD149" s="50"/>
      <c r="AE149" s="49"/>
      <c r="AF149" s="50"/>
      <c r="AG149" s="49"/>
      <c r="AH149" s="42"/>
      <c r="AI149" s="42"/>
      <c r="AJ149" s="42"/>
      <c r="AK149" s="42"/>
      <c r="AL149" s="42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</row>
    <row r="150" spans="1:53" x14ac:dyDescent="0.2">
      <c r="A150" s="29">
        <v>246</v>
      </c>
      <c r="B150" s="29" t="s">
        <v>48</v>
      </c>
      <c r="C150" s="29" t="s">
        <v>49</v>
      </c>
      <c r="D150" s="29" t="s">
        <v>35</v>
      </c>
      <c r="E150" s="29" t="s">
        <v>36</v>
      </c>
      <c r="F150" s="29" t="s">
        <v>37</v>
      </c>
      <c r="G150" s="41">
        <v>3</v>
      </c>
      <c r="H150" s="40" t="s">
        <v>22</v>
      </c>
      <c r="I150" s="40" t="s">
        <v>22</v>
      </c>
      <c r="J150" s="29" t="s">
        <v>38</v>
      </c>
      <c r="K150" s="28" t="s">
        <v>137</v>
      </c>
      <c r="L150" s="38">
        <v>7.8739999999999997</v>
      </c>
      <c r="M150" s="28" t="s">
        <v>137</v>
      </c>
      <c r="N150" s="38">
        <v>6.258</v>
      </c>
      <c r="O150" s="28" t="s">
        <v>137</v>
      </c>
      <c r="P150" s="38">
        <v>2.5710000000000002</v>
      </c>
      <c r="Q150" s="38">
        <v>2.8029999999999999</v>
      </c>
      <c r="R150" s="28" t="s">
        <v>137</v>
      </c>
      <c r="S150" s="38" t="s">
        <v>137</v>
      </c>
      <c r="T150" s="29">
        <f>COUNT(O145:O156)</f>
        <v>0</v>
      </c>
      <c r="V150" s="42"/>
      <c r="W150" s="42"/>
      <c r="X150" s="42"/>
      <c r="Y150" s="42"/>
      <c r="Z150" s="42"/>
      <c r="AA150" s="42"/>
      <c r="AB150" s="42"/>
      <c r="AC150" s="50"/>
      <c r="AD150" s="50"/>
      <c r="AE150" s="49"/>
      <c r="AF150" s="50"/>
      <c r="AG150" s="49"/>
      <c r="AH150" s="42"/>
      <c r="AI150" s="42"/>
      <c r="AJ150" s="42"/>
      <c r="AK150" s="42"/>
      <c r="AL150" s="42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</row>
    <row r="151" spans="1:53" x14ac:dyDescent="0.2">
      <c r="A151" s="29">
        <v>247</v>
      </c>
      <c r="B151" s="29" t="s">
        <v>48</v>
      </c>
      <c r="C151" s="29" t="s">
        <v>49</v>
      </c>
      <c r="D151" s="29" t="s">
        <v>35</v>
      </c>
      <c r="E151" s="29" t="s">
        <v>36</v>
      </c>
      <c r="F151" s="29" t="s">
        <v>37</v>
      </c>
      <c r="G151" s="36">
        <v>1</v>
      </c>
      <c r="H151" s="40" t="s">
        <v>22</v>
      </c>
      <c r="I151" s="40" t="s">
        <v>22</v>
      </c>
      <c r="J151" s="29" t="s">
        <v>51</v>
      </c>
      <c r="K151" s="28" t="s">
        <v>137</v>
      </c>
      <c r="L151" s="38">
        <v>8.1050000000000004</v>
      </c>
      <c r="M151" s="28" t="s">
        <v>137</v>
      </c>
      <c r="N151" s="38">
        <v>6.1369999999999996</v>
      </c>
      <c r="O151" s="28" t="s">
        <v>137</v>
      </c>
      <c r="P151" s="38">
        <v>2.641</v>
      </c>
      <c r="Q151" s="38">
        <v>2.9540000000000002</v>
      </c>
      <c r="R151" s="28" t="s">
        <v>137</v>
      </c>
      <c r="S151" s="38" t="s">
        <v>137</v>
      </c>
      <c r="T151" s="29">
        <f>COUNT(P145:P156)</f>
        <v>12</v>
      </c>
      <c r="V151" s="42"/>
      <c r="W151" s="42"/>
      <c r="X151" s="42"/>
      <c r="Y151" s="42"/>
      <c r="Z151" s="42"/>
      <c r="AA151" s="42"/>
      <c r="AB151" s="42"/>
      <c r="AC151" s="50"/>
      <c r="AD151" s="50"/>
      <c r="AE151" s="49"/>
      <c r="AF151" s="50"/>
      <c r="AG151" s="49"/>
      <c r="AH151" s="42"/>
      <c r="AI151" s="42"/>
      <c r="AJ151" s="42"/>
      <c r="AK151" s="42"/>
      <c r="AL151" s="42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</row>
    <row r="152" spans="1:53" x14ac:dyDescent="0.2">
      <c r="A152" s="29">
        <v>248</v>
      </c>
      <c r="B152" s="29" t="s">
        <v>48</v>
      </c>
      <c r="C152" s="29" t="s">
        <v>49</v>
      </c>
      <c r="D152" s="29" t="s">
        <v>35</v>
      </c>
      <c r="E152" s="29" t="s">
        <v>36</v>
      </c>
      <c r="F152" s="29" t="s">
        <v>37</v>
      </c>
      <c r="G152" s="39">
        <v>2</v>
      </c>
      <c r="H152" s="40" t="s">
        <v>22</v>
      </c>
      <c r="I152" s="40" t="s">
        <v>22</v>
      </c>
      <c r="J152" s="29" t="s">
        <v>41</v>
      </c>
      <c r="K152" s="28" t="s">
        <v>137</v>
      </c>
      <c r="L152" s="38">
        <v>7.8090000000000002</v>
      </c>
      <c r="M152" s="28" t="s">
        <v>137</v>
      </c>
      <c r="N152" s="38">
        <v>6.11</v>
      </c>
      <c r="O152" s="28" t="s">
        <v>137</v>
      </c>
      <c r="P152" s="38">
        <v>2.6349999999999998</v>
      </c>
      <c r="Q152" s="38">
        <v>2.8069999999999999</v>
      </c>
      <c r="R152" s="28" t="s">
        <v>137</v>
      </c>
      <c r="S152" s="38" t="s">
        <v>137</v>
      </c>
      <c r="T152" s="29">
        <f>COUNT(Q145:Q156)</f>
        <v>12</v>
      </c>
      <c r="V152" s="42"/>
      <c r="W152" s="42"/>
      <c r="X152" s="42"/>
      <c r="Y152" s="42"/>
      <c r="Z152" s="42"/>
      <c r="AA152" s="42"/>
      <c r="AB152" s="42"/>
      <c r="AC152" s="50"/>
      <c r="AD152" s="50"/>
      <c r="AE152" s="49"/>
      <c r="AF152" s="50"/>
      <c r="AG152" s="49"/>
      <c r="AH152" s="42"/>
      <c r="AI152" s="42"/>
      <c r="AJ152" s="42"/>
      <c r="AK152" s="42"/>
      <c r="AL152" s="42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</row>
    <row r="153" spans="1:53" x14ac:dyDescent="0.2">
      <c r="A153" s="29">
        <v>249</v>
      </c>
      <c r="B153" s="29" t="s">
        <v>48</v>
      </c>
      <c r="C153" s="29" t="s">
        <v>49</v>
      </c>
      <c r="D153" s="29" t="s">
        <v>35</v>
      </c>
      <c r="E153" s="29" t="s">
        <v>36</v>
      </c>
      <c r="F153" s="29" t="s">
        <v>37</v>
      </c>
      <c r="G153" s="41">
        <v>3</v>
      </c>
      <c r="H153" s="40" t="s">
        <v>22</v>
      </c>
      <c r="I153" s="40" t="s">
        <v>22</v>
      </c>
      <c r="J153" s="29" t="s">
        <v>28</v>
      </c>
      <c r="K153" s="28" t="s">
        <v>137</v>
      </c>
      <c r="L153" s="38">
        <v>7.8730000000000002</v>
      </c>
      <c r="M153" s="28" t="s">
        <v>137</v>
      </c>
      <c r="N153" s="38">
        <v>6.258</v>
      </c>
      <c r="O153" s="28" t="s">
        <v>137</v>
      </c>
      <c r="P153" s="38">
        <v>2.5779999999999998</v>
      </c>
      <c r="Q153" s="38">
        <v>2.8029999999999999</v>
      </c>
      <c r="R153" s="28" t="s">
        <v>137</v>
      </c>
      <c r="S153" s="38" t="s">
        <v>137</v>
      </c>
      <c r="T153" s="29">
        <f>COUNT(R145:R156)</f>
        <v>0</v>
      </c>
      <c r="V153" s="42"/>
      <c r="W153" s="42"/>
      <c r="X153" s="42"/>
      <c r="Y153" s="42"/>
      <c r="Z153" s="42"/>
      <c r="AA153" s="42"/>
      <c r="AB153" s="42"/>
      <c r="AC153" s="50"/>
      <c r="AD153" s="50"/>
      <c r="AE153" s="49"/>
      <c r="AF153" s="50"/>
      <c r="AG153" s="49"/>
      <c r="AH153" s="42"/>
      <c r="AI153" s="42"/>
      <c r="AJ153" s="42"/>
      <c r="AK153" s="42"/>
      <c r="AL153" s="42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</row>
    <row r="154" spans="1:53" x14ac:dyDescent="0.2">
      <c r="A154" s="29">
        <v>250</v>
      </c>
      <c r="B154" s="29" t="s">
        <v>48</v>
      </c>
      <c r="C154" s="29" t="s">
        <v>49</v>
      </c>
      <c r="D154" s="29" t="s">
        <v>35</v>
      </c>
      <c r="E154" s="29" t="s">
        <v>36</v>
      </c>
      <c r="F154" s="29" t="s">
        <v>37</v>
      </c>
      <c r="G154" s="36">
        <v>1</v>
      </c>
      <c r="H154" s="40" t="s">
        <v>22</v>
      </c>
      <c r="I154" s="40" t="s">
        <v>22</v>
      </c>
      <c r="J154" s="29" t="s">
        <v>31</v>
      </c>
      <c r="K154" s="28" t="s">
        <v>137</v>
      </c>
      <c r="L154" s="38">
        <v>8.08</v>
      </c>
      <c r="M154" s="28" t="s">
        <v>137</v>
      </c>
      <c r="N154" s="38">
        <v>6.0970000000000004</v>
      </c>
      <c r="O154" s="28" t="s">
        <v>137</v>
      </c>
      <c r="P154" s="38">
        <v>2.6</v>
      </c>
      <c r="Q154" s="38">
        <v>2.9380000000000002</v>
      </c>
      <c r="R154" s="28" t="s">
        <v>137</v>
      </c>
      <c r="S154" s="38" t="s">
        <v>137</v>
      </c>
      <c r="T154" s="29">
        <f>COUNT(S145:S156)</f>
        <v>0</v>
      </c>
      <c r="V154" s="42"/>
      <c r="W154" s="42"/>
      <c r="X154" s="42"/>
      <c r="Y154" s="42"/>
      <c r="Z154" s="42"/>
      <c r="AA154" s="42"/>
      <c r="AB154" s="42"/>
      <c r="AC154" s="50"/>
      <c r="AD154" s="50"/>
      <c r="AE154" s="49"/>
      <c r="AF154" s="50"/>
      <c r="AG154" s="49"/>
      <c r="AH154" s="42"/>
      <c r="AI154" s="42"/>
      <c r="AJ154" s="42"/>
      <c r="AK154" s="42"/>
      <c r="AL154" s="42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</row>
    <row r="155" spans="1:53" x14ac:dyDescent="0.2">
      <c r="A155" s="29">
        <v>251</v>
      </c>
      <c r="B155" s="29" t="s">
        <v>48</v>
      </c>
      <c r="C155" s="29" t="s">
        <v>49</v>
      </c>
      <c r="D155" s="29" t="s">
        <v>35</v>
      </c>
      <c r="E155" s="29" t="s">
        <v>36</v>
      </c>
      <c r="F155" s="29" t="s">
        <v>37</v>
      </c>
      <c r="G155" s="39">
        <v>2</v>
      </c>
      <c r="H155" s="40" t="s">
        <v>22</v>
      </c>
      <c r="I155" s="40" t="s">
        <v>22</v>
      </c>
      <c r="J155" s="29" t="s">
        <v>32</v>
      </c>
      <c r="K155" s="28" t="s">
        <v>137</v>
      </c>
      <c r="L155" s="38">
        <v>7.8419999999999996</v>
      </c>
      <c r="M155" s="28" t="s">
        <v>137</v>
      </c>
      <c r="N155" s="38">
        <v>6.1020000000000003</v>
      </c>
      <c r="O155" s="28" t="s">
        <v>137</v>
      </c>
      <c r="P155" s="38">
        <v>2.556</v>
      </c>
      <c r="Q155" s="38">
        <v>2.67</v>
      </c>
      <c r="R155" s="28" t="s">
        <v>137</v>
      </c>
      <c r="S155" s="38" t="s">
        <v>137</v>
      </c>
      <c r="T155" s="29">
        <f>T145-SUM(T146:T154)</f>
        <v>0</v>
      </c>
      <c r="V155" s="42"/>
      <c r="W155" s="42"/>
      <c r="X155" s="42"/>
      <c r="Y155" s="42"/>
      <c r="Z155" s="42"/>
      <c r="AA155" s="42"/>
      <c r="AB155" s="42"/>
      <c r="AC155" s="50"/>
      <c r="AD155" s="50"/>
      <c r="AE155" s="49"/>
      <c r="AF155" s="50"/>
      <c r="AG155" s="49"/>
      <c r="AH155" s="42"/>
      <c r="AI155" s="42"/>
      <c r="AJ155" s="42"/>
      <c r="AK155" s="42"/>
      <c r="AL155" s="42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</row>
    <row r="156" spans="1:53" x14ac:dyDescent="0.2">
      <c r="A156" s="29">
        <v>252</v>
      </c>
      <c r="B156" s="29" t="s">
        <v>48</v>
      </c>
      <c r="C156" s="29" t="s">
        <v>49</v>
      </c>
      <c r="D156" s="29" t="s">
        <v>35</v>
      </c>
      <c r="E156" s="29" t="s">
        <v>36</v>
      </c>
      <c r="F156" s="29" t="s">
        <v>37</v>
      </c>
      <c r="G156" s="41">
        <v>3</v>
      </c>
      <c r="H156" s="40" t="s">
        <v>22</v>
      </c>
      <c r="I156" s="40" t="s">
        <v>22</v>
      </c>
      <c r="J156" s="29" t="s">
        <v>33</v>
      </c>
      <c r="K156" s="28" t="s">
        <v>137</v>
      </c>
      <c r="L156" s="38">
        <v>7.8460000000000001</v>
      </c>
      <c r="M156" s="28" t="s">
        <v>137</v>
      </c>
      <c r="N156" s="38">
        <v>6.3</v>
      </c>
      <c r="O156" s="28" t="s">
        <v>137</v>
      </c>
      <c r="P156" s="38">
        <v>2.2970000000000002</v>
      </c>
      <c r="Q156" s="38">
        <v>2.859</v>
      </c>
      <c r="R156" s="28" t="s">
        <v>137</v>
      </c>
      <c r="S156" s="38" t="s">
        <v>137</v>
      </c>
      <c r="T156" s="29">
        <v>9999</v>
      </c>
      <c r="V156" s="42"/>
      <c r="W156" s="42"/>
      <c r="X156" s="42"/>
      <c r="Y156" s="42"/>
      <c r="Z156" s="42"/>
      <c r="AA156" s="42"/>
      <c r="AB156" s="42"/>
      <c r="AC156" s="50"/>
      <c r="AD156" s="50"/>
      <c r="AE156" s="49"/>
      <c r="AF156" s="50"/>
      <c r="AG156" s="49"/>
      <c r="AH156" s="42"/>
      <c r="AI156" s="42"/>
      <c r="AJ156" s="42"/>
      <c r="AK156" s="42"/>
      <c r="AL156" s="42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</row>
    <row r="157" spans="1:53" s="26" customForma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47"/>
      <c r="L157" s="48"/>
      <c r="M157" s="47"/>
      <c r="N157" s="48"/>
      <c r="O157" s="47"/>
      <c r="P157" s="48"/>
      <c r="Q157" s="48"/>
      <c r="R157" s="47"/>
      <c r="S157" s="48"/>
      <c r="T157" s="21"/>
      <c r="U157" s="25"/>
      <c r="V157" s="42"/>
      <c r="W157" s="42"/>
      <c r="X157" s="42"/>
      <c r="Y157" s="42"/>
      <c r="Z157" s="42"/>
      <c r="AA157" s="42"/>
      <c r="AB157" s="42"/>
      <c r="AC157" s="49"/>
      <c r="AD157" s="50"/>
      <c r="AE157" s="49"/>
      <c r="AF157" s="50"/>
      <c r="AG157" s="49"/>
      <c r="AH157" s="50"/>
      <c r="AI157" s="50"/>
      <c r="AJ157" s="49"/>
      <c r="AK157" s="50"/>
      <c r="AL157" s="42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</row>
    <row r="158" spans="1:53" x14ac:dyDescent="0.2">
      <c r="A158" s="29">
        <v>253</v>
      </c>
      <c r="B158" s="29" t="s">
        <v>60</v>
      </c>
      <c r="C158" s="29" t="s">
        <v>61</v>
      </c>
      <c r="D158" s="29" t="s">
        <v>35</v>
      </c>
      <c r="E158" s="29" t="s">
        <v>36</v>
      </c>
      <c r="F158" s="29" t="s">
        <v>37</v>
      </c>
      <c r="G158" s="36">
        <v>1</v>
      </c>
      <c r="H158" s="40" t="s">
        <v>22</v>
      </c>
      <c r="I158" s="40" t="s">
        <v>22</v>
      </c>
      <c r="J158" s="29" t="s">
        <v>24</v>
      </c>
      <c r="K158" s="28">
        <v>136.935</v>
      </c>
      <c r="L158" s="38">
        <v>8.0980000000000008</v>
      </c>
      <c r="M158" s="28">
        <v>83.483999999999995</v>
      </c>
      <c r="N158" s="38">
        <v>6.22</v>
      </c>
      <c r="O158" s="28" t="s">
        <v>137</v>
      </c>
      <c r="P158" s="38">
        <v>2.9460000000000002</v>
      </c>
      <c r="Q158" s="38">
        <v>3.137</v>
      </c>
      <c r="R158" s="28" t="s">
        <v>137</v>
      </c>
      <c r="S158" s="38">
        <v>11.754</v>
      </c>
      <c r="T158" s="29">
        <f>COUNT(K158:S169)</f>
        <v>84</v>
      </c>
      <c r="V158" s="42"/>
      <c r="W158" s="42"/>
      <c r="X158" s="42"/>
      <c r="Y158" s="42"/>
      <c r="Z158" s="42"/>
      <c r="AA158" s="42"/>
      <c r="AB158" s="42"/>
      <c r="AC158" s="49"/>
      <c r="AD158" s="50"/>
      <c r="AE158" s="49"/>
      <c r="AF158" s="50"/>
      <c r="AG158" s="49"/>
      <c r="AH158" s="50"/>
      <c r="AI158" s="50"/>
      <c r="AJ158" s="49"/>
      <c r="AK158" s="50"/>
      <c r="AL158" s="42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</row>
    <row r="159" spans="1:53" x14ac:dyDescent="0.2">
      <c r="A159" s="29">
        <v>254</v>
      </c>
      <c r="B159" s="29" t="s">
        <v>60</v>
      </c>
      <c r="C159" s="29" t="s">
        <v>61</v>
      </c>
      <c r="D159" s="29" t="s">
        <v>35</v>
      </c>
      <c r="E159" s="29" t="s">
        <v>36</v>
      </c>
      <c r="F159" s="29" t="s">
        <v>37</v>
      </c>
      <c r="G159" s="39">
        <v>2</v>
      </c>
      <c r="H159" s="40" t="s">
        <v>22</v>
      </c>
      <c r="I159" s="40" t="s">
        <v>22</v>
      </c>
      <c r="J159" s="29" t="s">
        <v>45</v>
      </c>
      <c r="K159" s="28">
        <v>135.30699999999999</v>
      </c>
      <c r="L159" s="38">
        <v>7.6829999999999998</v>
      </c>
      <c r="M159" s="28">
        <v>83.498000000000005</v>
      </c>
      <c r="N159" s="38">
        <v>6.1740000000000004</v>
      </c>
      <c r="O159" s="28" t="s">
        <v>137</v>
      </c>
      <c r="P159" s="38">
        <v>2.6360000000000001</v>
      </c>
      <c r="Q159" s="38">
        <v>2.9430000000000001</v>
      </c>
      <c r="R159" s="28" t="s">
        <v>137</v>
      </c>
      <c r="S159" s="38">
        <v>11.266</v>
      </c>
      <c r="T159" s="29">
        <f>COUNT(K158:K169)</f>
        <v>12</v>
      </c>
      <c r="V159" s="42"/>
      <c r="W159" s="42"/>
      <c r="X159" s="42"/>
      <c r="Y159" s="42"/>
      <c r="Z159" s="42"/>
      <c r="AA159" s="42"/>
      <c r="AB159" s="42"/>
      <c r="AC159" s="49"/>
      <c r="AD159" s="50"/>
      <c r="AE159" s="49"/>
      <c r="AF159" s="50"/>
      <c r="AG159" s="49"/>
      <c r="AH159" s="50"/>
      <c r="AI159" s="50"/>
      <c r="AJ159" s="49"/>
      <c r="AK159" s="50"/>
      <c r="AL159" s="42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</row>
    <row r="160" spans="1:53" x14ac:dyDescent="0.2">
      <c r="A160" s="29">
        <v>255</v>
      </c>
      <c r="B160" s="29" t="s">
        <v>60</v>
      </c>
      <c r="C160" s="29" t="s">
        <v>61</v>
      </c>
      <c r="D160" s="29" t="s">
        <v>35</v>
      </c>
      <c r="E160" s="29" t="s">
        <v>36</v>
      </c>
      <c r="F160" s="29" t="s">
        <v>37</v>
      </c>
      <c r="G160" s="41">
        <v>3</v>
      </c>
      <c r="H160" s="40" t="s">
        <v>22</v>
      </c>
      <c r="I160" s="40" t="s">
        <v>22</v>
      </c>
      <c r="J160" s="29" t="s">
        <v>46</v>
      </c>
      <c r="K160" s="28">
        <v>136.46899999999999</v>
      </c>
      <c r="L160" s="38">
        <v>7.7030000000000003</v>
      </c>
      <c r="M160" s="28">
        <v>86.043999999999997</v>
      </c>
      <c r="N160" s="38">
        <v>6.4240000000000004</v>
      </c>
      <c r="O160" s="28" t="s">
        <v>137</v>
      </c>
      <c r="P160" s="38">
        <v>2.552</v>
      </c>
      <c r="Q160" s="38">
        <v>2.6539999999999999</v>
      </c>
      <c r="R160" s="28" t="s">
        <v>137</v>
      </c>
      <c r="S160" s="38">
        <v>11.125999999999999</v>
      </c>
      <c r="T160" s="29">
        <f>COUNT(L158:L169)</f>
        <v>12</v>
      </c>
      <c r="V160" s="42"/>
      <c r="W160" s="42"/>
      <c r="X160" s="42"/>
      <c r="Y160" s="42"/>
      <c r="Z160" s="42"/>
      <c r="AA160" s="42"/>
      <c r="AB160" s="42"/>
      <c r="AC160" s="49"/>
      <c r="AD160" s="50"/>
      <c r="AE160" s="49"/>
      <c r="AF160" s="50"/>
      <c r="AG160" s="49"/>
      <c r="AH160" s="50"/>
      <c r="AI160" s="50"/>
      <c r="AJ160" s="49"/>
      <c r="AK160" s="50"/>
      <c r="AL160" s="42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</row>
    <row r="161" spans="1:53" x14ac:dyDescent="0.2">
      <c r="A161" s="29">
        <v>256</v>
      </c>
      <c r="B161" s="29" t="s">
        <v>60</v>
      </c>
      <c r="C161" s="29" t="s">
        <v>61</v>
      </c>
      <c r="D161" s="29" t="s">
        <v>35</v>
      </c>
      <c r="E161" s="29" t="s">
        <v>36</v>
      </c>
      <c r="F161" s="29" t="s">
        <v>37</v>
      </c>
      <c r="G161" s="36">
        <v>1</v>
      </c>
      <c r="H161" s="40" t="s">
        <v>22</v>
      </c>
      <c r="I161" s="40" t="s">
        <v>22</v>
      </c>
      <c r="J161" s="29" t="s">
        <v>25</v>
      </c>
      <c r="K161" s="28">
        <v>136.04900000000001</v>
      </c>
      <c r="L161" s="38">
        <v>8.0389999999999997</v>
      </c>
      <c r="M161" s="28">
        <v>90.855999999999995</v>
      </c>
      <c r="N161" s="38">
        <v>6.1509999999999998</v>
      </c>
      <c r="O161" s="28" t="s">
        <v>137</v>
      </c>
      <c r="P161" s="38">
        <v>2.4060000000000001</v>
      </c>
      <c r="Q161" s="38">
        <v>2.911</v>
      </c>
      <c r="R161" s="28" t="s">
        <v>137</v>
      </c>
      <c r="S161" s="38">
        <v>11.706</v>
      </c>
      <c r="T161" s="29">
        <f>COUNT(M158:M169)</f>
        <v>12</v>
      </c>
      <c r="V161" s="42"/>
      <c r="W161" s="42"/>
      <c r="X161" s="42"/>
      <c r="Y161" s="42"/>
      <c r="Z161" s="42"/>
      <c r="AA161" s="42"/>
      <c r="AB161" s="42"/>
      <c r="AC161" s="49"/>
      <c r="AD161" s="50"/>
      <c r="AE161" s="49"/>
      <c r="AF161" s="50"/>
      <c r="AG161" s="49"/>
      <c r="AH161" s="50"/>
      <c r="AI161" s="50"/>
      <c r="AJ161" s="49"/>
      <c r="AK161" s="50"/>
      <c r="AL161" s="42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</row>
    <row r="162" spans="1:53" x14ac:dyDescent="0.2">
      <c r="A162" s="29">
        <v>257</v>
      </c>
      <c r="B162" s="29" t="s">
        <v>60</v>
      </c>
      <c r="C162" s="29" t="s">
        <v>61</v>
      </c>
      <c r="D162" s="29" t="s">
        <v>35</v>
      </c>
      <c r="E162" s="29" t="s">
        <v>36</v>
      </c>
      <c r="F162" s="29" t="s">
        <v>37</v>
      </c>
      <c r="G162" s="39">
        <v>2</v>
      </c>
      <c r="H162" s="40" t="s">
        <v>22</v>
      </c>
      <c r="I162" s="40" t="s">
        <v>22</v>
      </c>
      <c r="J162" s="29" t="s">
        <v>26</v>
      </c>
      <c r="K162" s="28">
        <v>136.934</v>
      </c>
      <c r="L162" s="38">
        <v>7.9729999999999999</v>
      </c>
      <c r="M162" s="28">
        <v>82.519000000000005</v>
      </c>
      <c r="N162" s="38">
        <v>6.0330000000000004</v>
      </c>
      <c r="O162" s="28" t="s">
        <v>137</v>
      </c>
      <c r="P162" s="38">
        <v>2.5409999999999999</v>
      </c>
      <c r="Q162" s="38">
        <v>2.7160000000000002</v>
      </c>
      <c r="R162" s="28" t="s">
        <v>137</v>
      </c>
      <c r="S162" s="38">
        <v>11.598000000000001</v>
      </c>
      <c r="T162" s="29">
        <f>COUNT(N158:N169)</f>
        <v>12</v>
      </c>
      <c r="V162" s="42"/>
      <c r="W162" s="42"/>
      <c r="X162" s="42"/>
      <c r="Y162" s="42"/>
      <c r="Z162" s="42"/>
      <c r="AA162" s="42"/>
      <c r="AB162" s="42"/>
      <c r="AC162" s="49"/>
      <c r="AD162" s="50"/>
      <c r="AE162" s="49"/>
      <c r="AF162" s="50"/>
      <c r="AG162" s="49"/>
      <c r="AH162" s="50"/>
      <c r="AI162" s="50"/>
      <c r="AJ162" s="49"/>
      <c r="AK162" s="50"/>
      <c r="AL162" s="42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</row>
    <row r="163" spans="1:53" x14ac:dyDescent="0.2">
      <c r="A163" s="29">
        <v>258</v>
      </c>
      <c r="B163" s="29" t="s">
        <v>60</v>
      </c>
      <c r="C163" s="29" t="s">
        <v>61</v>
      </c>
      <c r="D163" s="29" t="s">
        <v>35</v>
      </c>
      <c r="E163" s="29" t="s">
        <v>36</v>
      </c>
      <c r="F163" s="29" t="s">
        <v>37</v>
      </c>
      <c r="G163" s="41">
        <v>3</v>
      </c>
      <c r="H163" s="40" t="s">
        <v>22</v>
      </c>
      <c r="I163" s="40" t="s">
        <v>22</v>
      </c>
      <c r="J163" s="29" t="s">
        <v>27</v>
      </c>
      <c r="K163" s="28">
        <v>136.24100000000001</v>
      </c>
      <c r="L163" s="38">
        <v>7.7480000000000002</v>
      </c>
      <c r="M163" s="28">
        <v>85.85</v>
      </c>
      <c r="N163" s="38">
        <v>6.3159999999999998</v>
      </c>
      <c r="O163" s="28" t="s">
        <v>137</v>
      </c>
      <c r="P163" s="38">
        <v>1.776</v>
      </c>
      <c r="Q163" s="38">
        <v>2.532</v>
      </c>
      <c r="R163" s="28" t="s">
        <v>137</v>
      </c>
      <c r="S163" s="38">
        <v>11.329000000000001</v>
      </c>
      <c r="T163" s="29">
        <f>COUNT(O158:O169)</f>
        <v>0</v>
      </c>
      <c r="V163" s="42"/>
      <c r="W163" s="42"/>
      <c r="X163" s="42"/>
      <c r="Y163" s="42"/>
      <c r="Z163" s="42"/>
      <c r="AA163" s="42"/>
      <c r="AB163" s="42"/>
      <c r="AC163" s="49"/>
      <c r="AD163" s="50"/>
      <c r="AE163" s="49"/>
      <c r="AF163" s="50"/>
      <c r="AG163" s="49"/>
      <c r="AH163" s="50"/>
      <c r="AI163" s="50"/>
      <c r="AJ163" s="49"/>
      <c r="AK163" s="50"/>
      <c r="AL163" s="42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</row>
    <row r="164" spans="1:53" x14ac:dyDescent="0.2">
      <c r="A164" s="29">
        <v>259</v>
      </c>
      <c r="B164" s="29" t="s">
        <v>60</v>
      </c>
      <c r="C164" s="29" t="s">
        <v>61</v>
      </c>
      <c r="D164" s="29" t="s">
        <v>35</v>
      </c>
      <c r="E164" s="29" t="s">
        <v>36</v>
      </c>
      <c r="F164" s="29" t="s">
        <v>37</v>
      </c>
      <c r="G164" s="36">
        <v>1</v>
      </c>
      <c r="H164" s="40" t="s">
        <v>22</v>
      </c>
      <c r="I164" s="40" t="s">
        <v>22</v>
      </c>
      <c r="J164" s="29" t="s">
        <v>30</v>
      </c>
      <c r="K164" s="28">
        <v>137.292</v>
      </c>
      <c r="L164" s="38">
        <v>8.2210000000000001</v>
      </c>
      <c r="M164" s="28">
        <v>85.17</v>
      </c>
      <c r="N164" s="38">
        <v>6.2729999999999997</v>
      </c>
      <c r="O164" s="28" t="s">
        <v>137</v>
      </c>
      <c r="P164" s="38">
        <v>3.0089999999999999</v>
      </c>
      <c r="Q164" s="38">
        <v>3.1890000000000001</v>
      </c>
      <c r="R164" s="28" t="s">
        <v>137</v>
      </c>
      <c r="S164" s="38">
        <v>11.929</v>
      </c>
      <c r="T164" s="29">
        <f>COUNT(P158:P169)</f>
        <v>12</v>
      </c>
      <c r="V164" s="42"/>
      <c r="W164" s="42"/>
      <c r="X164" s="42"/>
      <c r="Y164" s="42"/>
      <c r="Z164" s="42"/>
      <c r="AA164" s="42"/>
      <c r="AB164" s="42"/>
      <c r="AC164" s="49"/>
      <c r="AD164" s="50"/>
      <c r="AE164" s="49"/>
      <c r="AF164" s="50"/>
      <c r="AG164" s="49"/>
      <c r="AH164" s="50"/>
      <c r="AI164" s="50"/>
      <c r="AJ164" s="49"/>
      <c r="AK164" s="50"/>
      <c r="AL164" s="42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</row>
    <row r="165" spans="1:53" x14ac:dyDescent="0.2">
      <c r="A165" s="29">
        <v>260</v>
      </c>
      <c r="B165" s="29" t="s">
        <v>60</v>
      </c>
      <c r="C165" s="29" t="s">
        <v>61</v>
      </c>
      <c r="D165" s="29" t="s">
        <v>35</v>
      </c>
      <c r="E165" s="29" t="s">
        <v>36</v>
      </c>
      <c r="F165" s="29" t="s">
        <v>37</v>
      </c>
      <c r="G165" s="39">
        <v>2</v>
      </c>
      <c r="H165" s="40" t="s">
        <v>22</v>
      </c>
      <c r="I165" s="40" t="s">
        <v>22</v>
      </c>
      <c r="J165" s="29" t="s">
        <v>42</v>
      </c>
      <c r="K165" s="28">
        <v>135.47399999999999</v>
      </c>
      <c r="L165" s="38">
        <v>7.7830000000000004</v>
      </c>
      <c r="M165" s="28">
        <v>84.832999999999998</v>
      </c>
      <c r="N165" s="38">
        <v>6.2140000000000004</v>
      </c>
      <c r="O165" s="28" t="s">
        <v>137</v>
      </c>
      <c r="P165" s="38">
        <v>2.726</v>
      </c>
      <c r="Q165" s="38">
        <v>2.9820000000000002</v>
      </c>
      <c r="R165" s="28" t="s">
        <v>137</v>
      </c>
      <c r="S165" s="38">
        <v>11.29</v>
      </c>
      <c r="T165" s="29">
        <f>COUNT(Q158:Q169)</f>
        <v>12</v>
      </c>
      <c r="V165" s="42"/>
      <c r="W165" s="42"/>
      <c r="X165" s="42"/>
      <c r="Y165" s="42"/>
      <c r="Z165" s="42"/>
      <c r="AA165" s="42"/>
      <c r="AB165" s="42"/>
      <c r="AC165" s="49"/>
      <c r="AD165" s="50"/>
      <c r="AE165" s="49"/>
      <c r="AF165" s="50"/>
      <c r="AG165" s="49"/>
      <c r="AH165" s="50"/>
      <c r="AI165" s="50"/>
      <c r="AJ165" s="49"/>
      <c r="AK165" s="50"/>
      <c r="AL165" s="42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</row>
    <row r="166" spans="1:53" x14ac:dyDescent="0.2">
      <c r="A166" s="29">
        <v>261</v>
      </c>
      <c r="B166" s="29" t="s">
        <v>60</v>
      </c>
      <c r="C166" s="29" t="s">
        <v>61</v>
      </c>
      <c r="D166" s="29" t="s">
        <v>35</v>
      </c>
      <c r="E166" s="29" t="s">
        <v>36</v>
      </c>
      <c r="F166" s="29" t="s">
        <v>37</v>
      </c>
      <c r="G166" s="41">
        <v>3</v>
      </c>
      <c r="H166" s="40" t="s">
        <v>22</v>
      </c>
      <c r="I166" s="40" t="s">
        <v>22</v>
      </c>
      <c r="J166" s="29" t="s">
        <v>31</v>
      </c>
      <c r="K166" s="28">
        <v>136.53200000000001</v>
      </c>
      <c r="L166" s="38">
        <v>7.7789999999999999</v>
      </c>
      <c r="M166" s="28">
        <v>86.1</v>
      </c>
      <c r="N166" s="38">
        <v>6.4509999999999996</v>
      </c>
      <c r="O166" s="28" t="s">
        <v>137</v>
      </c>
      <c r="P166" s="38">
        <v>2.569</v>
      </c>
      <c r="Q166" s="38">
        <v>2.6739999999999999</v>
      </c>
      <c r="R166" s="28" t="s">
        <v>137</v>
      </c>
      <c r="S166" s="38">
        <v>11.013</v>
      </c>
      <c r="T166" s="29">
        <f>COUNT(R158:R169)</f>
        <v>0</v>
      </c>
      <c r="V166" s="42"/>
      <c r="W166" s="42"/>
      <c r="X166" s="42"/>
      <c r="Y166" s="42"/>
      <c r="Z166" s="42"/>
      <c r="AA166" s="42"/>
      <c r="AB166" s="42"/>
      <c r="AC166" s="49"/>
      <c r="AD166" s="50"/>
      <c r="AE166" s="49"/>
      <c r="AF166" s="50"/>
      <c r="AG166" s="49"/>
      <c r="AH166" s="50"/>
      <c r="AI166" s="50"/>
      <c r="AJ166" s="49"/>
      <c r="AK166" s="50"/>
      <c r="AL166" s="42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</row>
    <row r="167" spans="1:53" x14ac:dyDescent="0.2">
      <c r="A167" s="29">
        <v>262</v>
      </c>
      <c r="B167" s="29" t="s">
        <v>60</v>
      </c>
      <c r="C167" s="29" t="s">
        <v>61</v>
      </c>
      <c r="D167" s="29" t="s">
        <v>35</v>
      </c>
      <c r="E167" s="29" t="s">
        <v>36</v>
      </c>
      <c r="F167" s="29" t="s">
        <v>37</v>
      </c>
      <c r="G167" s="36">
        <v>1</v>
      </c>
      <c r="H167" s="40" t="s">
        <v>22</v>
      </c>
      <c r="I167" s="40" t="s">
        <v>22</v>
      </c>
      <c r="J167" s="29" t="s">
        <v>33</v>
      </c>
      <c r="K167" s="28">
        <v>135.75</v>
      </c>
      <c r="L167" s="38">
        <v>8.0350000000000001</v>
      </c>
      <c r="M167" s="28">
        <v>91.1</v>
      </c>
      <c r="N167" s="38">
        <v>6.1619999999999999</v>
      </c>
      <c r="O167" s="28" t="s">
        <v>137</v>
      </c>
      <c r="P167" s="38">
        <v>2.4049999999999998</v>
      </c>
      <c r="Q167" s="38">
        <v>2.8820000000000001</v>
      </c>
      <c r="R167" s="28" t="s">
        <v>137</v>
      </c>
      <c r="S167" s="38">
        <v>10.760999999999999</v>
      </c>
      <c r="T167" s="29">
        <f>COUNT(S158:S169)</f>
        <v>12</v>
      </c>
      <c r="V167" s="42"/>
      <c r="W167" s="42"/>
      <c r="X167" s="42"/>
      <c r="Y167" s="42"/>
      <c r="Z167" s="42"/>
      <c r="AA167" s="42"/>
      <c r="AB167" s="42"/>
      <c r="AC167" s="49"/>
      <c r="AD167" s="50"/>
      <c r="AE167" s="49"/>
      <c r="AF167" s="50"/>
      <c r="AG167" s="49"/>
      <c r="AH167" s="50"/>
      <c r="AI167" s="50"/>
      <c r="AJ167" s="49"/>
      <c r="AK167" s="50"/>
      <c r="AL167" s="42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</row>
    <row r="168" spans="1:53" x14ac:dyDescent="0.2">
      <c r="A168" s="29">
        <v>263</v>
      </c>
      <c r="B168" s="29" t="s">
        <v>60</v>
      </c>
      <c r="C168" s="29" t="s">
        <v>61</v>
      </c>
      <c r="D168" s="29" t="s">
        <v>35</v>
      </c>
      <c r="E168" s="29" t="s">
        <v>36</v>
      </c>
      <c r="F168" s="29" t="s">
        <v>37</v>
      </c>
      <c r="G168" s="39">
        <v>2</v>
      </c>
      <c r="H168" s="40" t="s">
        <v>22</v>
      </c>
      <c r="I168" s="40" t="s">
        <v>22</v>
      </c>
      <c r="J168" s="29" t="s">
        <v>62</v>
      </c>
      <c r="K168" s="28">
        <v>136.934</v>
      </c>
      <c r="L168" s="38">
        <v>7.976</v>
      </c>
      <c r="M168" s="28">
        <v>82.165999999999997</v>
      </c>
      <c r="N168" s="38">
        <v>5.992</v>
      </c>
      <c r="O168" s="28" t="s">
        <v>137</v>
      </c>
      <c r="P168" s="38">
        <v>2.66</v>
      </c>
      <c r="Q168" s="38">
        <v>2.7160000000000002</v>
      </c>
      <c r="R168" s="28" t="s">
        <v>137</v>
      </c>
      <c r="S168" s="38">
        <v>11.455</v>
      </c>
      <c r="T168" s="29">
        <f>T158-SUM(T159:T167)</f>
        <v>0</v>
      </c>
      <c r="V168" s="42"/>
      <c r="W168" s="42"/>
      <c r="X168" s="42"/>
      <c r="Y168" s="42"/>
      <c r="Z168" s="42"/>
      <c r="AA168" s="42"/>
      <c r="AB168" s="42"/>
      <c r="AC168" s="49"/>
      <c r="AD168" s="50"/>
      <c r="AE168" s="49"/>
      <c r="AF168" s="50"/>
      <c r="AG168" s="49"/>
      <c r="AH168" s="50"/>
      <c r="AI168" s="50"/>
      <c r="AJ168" s="49"/>
      <c r="AK168" s="50"/>
      <c r="AL168" s="42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</row>
    <row r="169" spans="1:53" x14ac:dyDescent="0.2">
      <c r="A169" s="29">
        <v>264</v>
      </c>
      <c r="B169" s="29" t="s">
        <v>60</v>
      </c>
      <c r="C169" s="29" t="s">
        <v>61</v>
      </c>
      <c r="D169" s="29" t="s">
        <v>35</v>
      </c>
      <c r="E169" s="29" t="s">
        <v>36</v>
      </c>
      <c r="F169" s="29" t="s">
        <v>37</v>
      </c>
      <c r="G169" s="41">
        <v>3</v>
      </c>
      <c r="H169" s="40" t="s">
        <v>22</v>
      </c>
      <c r="I169" s="40" t="s">
        <v>22</v>
      </c>
      <c r="J169" s="29" t="s">
        <v>63</v>
      </c>
      <c r="K169" s="28">
        <v>135.178</v>
      </c>
      <c r="L169" s="38">
        <v>7.6760000000000002</v>
      </c>
      <c r="M169" s="28">
        <v>85.807000000000002</v>
      </c>
      <c r="N169" s="38">
        <v>6.2119999999999997</v>
      </c>
      <c r="O169" s="28" t="s">
        <v>137</v>
      </c>
      <c r="P169" s="38">
        <v>2.5920000000000001</v>
      </c>
      <c r="Q169" s="38">
        <v>2.78</v>
      </c>
      <c r="R169" s="28" t="s">
        <v>137</v>
      </c>
      <c r="S169" s="38">
        <v>11.25</v>
      </c>
      <c r="T169" s="29">
        <v>9999</v>
      </c>
      <c r="V169" s="42"/>
      <c r="W169" s="42"/>
      <c r="X169" s="42"/>
      <c r="Y169" s="42"/>
      <c r="Z169" s="42"/>
      <c r="AA169" s="42"/>
      <c r="AB169" s="42"/>
      <c r="AC169" s="49"/>
      <c r="AD169" s="50"/>
      <c r="AE169" s="49"/>
      <c r="AF169" s="50"/>
      <c r="AG169" s="49"/>
      <c r="AH169" s="50"/>
      <c r="AI169" s="50"/>
      <c r="AJ169" s="49"/>
      <c r="AK169" s="50"/>
      <c r="AL169" s="42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</row>
    <row r="170" spans="1:53" s="26" customForma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47"/>
      <c r="L170" s="48"/>
      <c r="M170" s="47"/>
      <c r="N170" s="48"/>
      <c r="O170" s="47"/>
      <c r="P170" s="48"/>
      <c r="Q170" s="48"/>
      <c r="R170" s="47"/>
      <c r="S170" s="48"/>
      <c r="T170" s="21"/>
      <c r="U170" s="25"/>
      <c r="V170" s="42"/>
      <c r="W170" s="42"/>
      <c r="X170" s="42"/>
      <c r="Y170" s="42"/>
      <c r="Z170" s="42"/>
      <c r="AA170" s="42"/>
      <c r="AB170" s="42"/>
      <c r="AC170" s="42"/>
      <c r="AD170" s="50"/>
      <c r="AE170" s="42"/>
      <c r="AF170" s="50"/>
      <c r="AG170" s="42"/>
      <c r="AH170" s="50"/>
      <c r="AI170" s="50"/>
      <c r="AJ170" s="42"/>
      <c r="AK170" s="50"/>
      <c r="AL170" s="42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</row>
    <row r="171" spans="1:53" x14ac:dyDescent="0.2">
      <c r="A171" s="29">
        <v>265</v>
      </c>
      <c r="B171" s="29" t="s">
        <v>93</v>
      </c>
      <c r="C171" s="29" t="s">
        <v>94</v>
      </c>
      <c r="D171" s="29" t="s">
        <v>35</v>
      </c>
      <c r="E171" s="29" t="s">
        <v>36</v>
      </c>
      <c r="F171" s="29" t="s">
        <v>37</v>
      </c>
      <c r="G171" s="36">
        <v>1</v>
      </c>
      <c r="H171" s="40" t="s">
        <v>22</v>
      </c>
      <c r="I171" s="40" t="s">
        <v>22</v>
      </c>
      <c r="J171" s="29" t="s">
        <v>45</v>
      </c>
      <c r="K171" s="28">
        <v>138.71100000000001</v>
      </c>
      <c r="L171" s="38">
        <v>8.0440000000000005</v>
      </c>
      <c r="M171" s="28" t="s">
        <v>137</v>
      </c>
      <c r="N171" s="38">
        <v>6.05</v>
      </c>
      <c r="O171" s="28" t="s">
        <v>137</v>
      </c>
      <c r="P171" s="38">
        <v>2.7440000000000002</v>
      </c>
      <c r="Q171" s="38">
        <v>2.976</v>
      </c>
      <c r="R171" s="28" t="s">
        <v>137</v>
      </c>
      <c r="S171" s="38">
        <v>11.861000000000001</v>
      </c>
      <c r="T171" s="29">
        <f>COUNT(K171:S182)</f>
        <v>72</v>
      </c>
      <c r="V171" s="42"/>
      <c r="W171" s="42"/>
      <c r="X171" s="42"/>
      <c r="Y171" s="42"/>
      <c r="Z171" s="42"/>
      <c r="AA171" s="42"/>
      <c r="AB171" s="42"/>
      <c r="AC171" s="49"/>
      <c r="AD171" s="50"/>
      <c r="AE171" s="49"/>
      <c r="AF171" s="50"/>
      <c r="AG171" s="49"/>
      <c r="AH171" s="50"/>
      <c r="AI171" s="50"/>
      <c r="AJ171" s="49"/>
      <c r="AK171" s="50"/>
      <c r="AL171" s="42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</row>
    <row r="172" spans="1:53" x14ac:dyDescent="0.2">
      <c r="A172" s="29">
        <v>266</v>
      </c>
      <c r="B172" s="29" t="s">
        <v>93</v>
      </c>
      <c r="C172" s="29" t="s">
        <v>94</v>
      </c>
      <c r="D172" s="29" t="s">
        <v>35</v>
      </c>
      <c r="E172" s="29" t="s">
        <v>36</v>
      </c>
      <c r="F172" s="29" t="s">
        <v>37</v>
      </c>
      <c r="G172" s="39">
        <v>2</v>
      </c>
      <c r="H172" s="40" t="s">
        <v>22</v>
      </c>
      <c r="I172" s="40" t="s">
        <v>22</v>
      </c>
      <c r="J172" s="29" t="s">
        <v>46</v>
      </c>
      <c r="K172" s="28">
        <v>137.846</v>
      </c>
      <c r="L172" s="38">
        <v>7.6920000000000002</v>
      </c>
      <c r="M172" s="28" t="s">
        <v>137</v>
      </c>
      <c r="N172" s="38">
        <v>6.1550000000000002</v>
      </c>
      <c r="O172" s="28" t="s">
        <v>137</v>
      </c>
      <c r="P172" s="38">
        <v>2.6080000000000001</v>
      </c>
      <c r="Q172" s="38">
        <v>2.887</v>
      </c>
      <c r="R172" s="28" t="s">
        <v>137</v>
      </c>
      <c r="S172" s="38">
        <v>12.167999999999999</v>
      </c>
      <c r="T172" s="29">
        <f>COUNT(K171:K182)</f>
        <v>12</v>
      </c>
      <c r="V172" s="42"/>
      <c r="W172" s="42"/>
      <c r="X172" s="42"/>
      <c r="Y172" s="42"/>
      <c r="Z172" s="42"/>
      <c r="AA172" s="42"/>
      <c r="AB172" s="42"/>
      <c r="AC172" s="49"/>
      <c r="AD172" s="50"/>
      <c r="AE172" s="49"/>
      <c r="AF172" s="50"/>
      <c r="AG172" s="49"/>
      <c r="AH172" s="50"/>
      <c r="AI172" s="49"/>
      <c r="AJ172" s="49"/>
      <c r="AK172" s="50"/>
      <c r="AL172" s="42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</row>
    <row r="173" spans="1:53" x14ac:dyDescent="0.2">
      <c r="A173" s="29">
        <v>267</v>
      </c>
      <c r="B173" s="29" t="s">
        <v>93</v>
      </c>
      <c r="C173" s="29" t="s">
        <v>94</v>
      </c>
      <c r="D173" s="29" t="s">
        <v>35</v>
      </c>
      <c r="E173" s="29" t="s">
        <v>36</v>
      </c>
      <c r="F173" s="29" t="s">
        <v>37</v>
      </c>
      <c r="G173" s="41">
        <v>3</v>
      </c>
      <c r="H173" s="40" t="s">
        <v>22</v>
      </c>
      <c r="I173" s="40" t="s">
        <v>22</v>
      </c>
      <c r="J173" s="29" t="s">
        <v>59</v>
      </c>
      <c r="K173" s="28">
        <v>138.08099999999999</v>
      </c>
      <c r="L173" s="38">
        <v>7.6120000000000001</v>
      </c>
      <c r="M173" s="28" t="s">
        <v>137</v>
      </c>
      <c r="N173" s="38">
        <v>6.4169999999999998</v>
      </c>
      <c r="O173" s="28" t="s">
        <v>137</v>
      </c>
      <c r="P173" s="38">
        <v>2.6059999999999999</v>
      </c>
      <c r="Q173" s="38">
        <v>2.6859999999999999</v>
      </c>
      <c r="R173" s="28" t="s">
        <v>137</v>
      </c>
      <c r="S173" s="38">
        <v>12.244</v>
      </c>
      <c r="T173" s="29">
        <f>COUNT(L171:L182)</f>
        <v>12</v>
      </c>
      <c r="V173" s="42"/>
      <c r="W173" s="42"/>
      <c r="X173" s="42"/>
      <c r="Y173" s="42"/>
      <c r="Z173" s="42"/>
      <c r="AA173" s="42"/>
      <c r="AB173" s="42"/>
      <c r="AC173" s="49"/>
      <c r="AD173" s="50"/>
      <c r="AE173" s="49"/>
      <c r="AF173" s="50"/>
      <c r="AG173" s="49"/>
      <c r="AH173" s="50"/>
      <c r="AI173" s="50"/>
      <c r="AJ173" s="49"/>
      <c r="AK173" s="50"/>
      <c r="AL173" s="42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</row>
    <row r="174" spans="1:53" x14ac:dyDescent="0.2">
      <c r="A174" s="29">
        <v>268</v>
      </c>
      <c r="B174" s="29" t="s">
        <v>93</v>
      </c>
      <c r="C174" s="29" t="s">
        <v>94</v>
      </c>
      <c r="D174" s="29" t="s">
        <v>35</v>
      </c>
      <c r="E174" s="29" t="s">
        <v>36</v>
      </c>
      <c r="F174" s="29" t="s">
        <v>37</v>
      </c>
      <c r="G174" s="36">
        <v>1</v>
      </c>
      <c r="H174" s="40" t="s">
        <v>22</v>
      </c>
      <c r="I174" s="40" t="s">
        <v>22</v>
      </c>
      <c r="J174" s="29" t="s">
        <v>26</v>
      </c>
      <c r="K174" s="28">
        <v>138.44399999999999</v>
      </c>
      <c r="L174" s="38">
        <v>8.0380000000000003</v>
      </c>
      <c r="M174" s="28" t="s">
        <v>137</v>
      </c>
      <c r="N174" s="38">
        <v>6.0609999999999999</v>
      </c>
      <c r="O174" s="28" t="s">
        <v>137</v>
      </c>
      <c r="P174" s="38">
        <v>2.4449999999999998</v>
      </c>
      <c r="Q174" s="38">
        <v>2.847</v>
      </c>
      <c r="R174" s="28" t="s">
        <v>137</v>
      </c>
      <c r="S174" s="38">
        <v>11.21</v>
      </c>
      <c r="T174" s="29">
        <f>COUNT(M171:M182)</f>
        <v>0</v>
      </c>
      <c r="V174" s="42"/>
      <c r="W174" s="42"/>
      <c r="X174" s="42"/>
      <c r="Y174" s="42"/>
      <c r="Z174" s="42"/>
      <c r="AA174" s="42"/>
      <c r="AB174" s="42"/>
      <c r="AC174" s="49"/>
      <c r="AD174" s="50"/>
      <c r="AE174" s="49"/>
      <c r="AF174" s="50"/>
      <c r="AG174" s="49"/>
      <c r="AH174" s="50"/>
      <c r="AI174" s="50"/>
      <c r="AJ174" s="49"/>
      <c r="AK174" s="50"/>
      <c r="AL174" s="42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</row>
    <row r="175" spans="1:53" x14ac:dyDescent="0.2">
      <c r="A175" s="29">
        <v>269</v>
      </c>
      <c r="B175" s="29" t="s">
        <v>93</v>
      </c>
      <c r="C175" s="29" t="s">
        <v>94</v>
      </c>
      <c r="D175" s="29" t="s">
        <v>35</v>
      </c>
      <c r="E175" s="29" t="s">
        <v>36</v>
      </c>
      <c r="F175" s="29" t="s">
        <v>37</v>
      </c>
      <c r="G175" s="39">
        <v>2</v>
      </c>
      <c r="H175" s="40" t="s">
        <v>22</v>
      </c>
      <c r="I175" s="40" t="s">
        <v>22</v>
      </c>
      <c r="J175" s="29" t="s">
        <v>27</v>
      </c>
      <c r="K175" s="28">
        <v>138.851</v>
      </c>
      <c r="L175" s="38">
        <v>7.9530000000000003</v>
      </c>
      <c r="M175" s="28" t="s">
        <v>137</v>
      </c>
      <c r="N175" s="38">
        <v>6.0339999999999998</v>
      </c>
      <c r="O175" s="28" t="s">
        <v>137</v>
      </c>
      <c r="P175" s="38">
        <v>2.6619999999999999</v>
      </c>
      <c r="Q175" s="38">
        <v>2.7839999999999998</v>
      </c>
      <c r="R175" s="28" t="s">
        <v>137</v>
      </c>
      <c r="S175" s="38">
        <v>11.468</v>
      </c>
      <c r="T175" s="29">
        <f>COUNT(N171:N182)</f>
        <v>12</v>
      </c>
      <c r="V175" s="42"/>
      <c r="W175" s="42"/>
      <c r="X175" s="42"/>
      <c r="Y175" s="42"/>
      <c r="Z175" s="42"/>
      <c r="AA175" s="42"/>
      <c r="AB175" s="42"/>
      <c r="AC175" s="49"/>
      <c r="AD175" s="50"/>
      <c r="AE175" s="49"/>
      <c r="AF175" s="50"/>
      <c r="AG175" s="49"/>
      <c r="AH175" s="50"/>
      <c r="AI175" s="50"/>
      <c r="AJ175" s="49"/>
      <c r="AK175" s="50"/>
      <c r="AL175" s="42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</row>
    <row r="176" spans="1:53" x14ac:dyDescent="0.2">
      <c r="A176" s="29">
        <v>270</v>
      </c>
      <c r="B176" s="29" t="s">
        <v>93</v>
      </c>
      <c r="C176" s="29" t="s">
        <v>94</v>
      </c>
      <c r="D176" s="29" t="s">
        <v>35</v>
      </c>
      <c r="E176" s="29" t="s">
        <v>36</v>
      </c>
      <c r="F176" s="29" t="s">
        <v>37</v>
      </c>
      <c r="G176" s="41">
        <v>3</v>
      </c>
      <c r="H176" s="40" t="s">
        <v>22</v>
      </c>
      <c r="I176" s="40" t="s">
        <v>22</v>
      </c>
      <c r="J176" s="29" t="s">
        <v>50</v>
      </c>
      <c r="K176" s="28">
        <v>138.399</v>
      </c>
      <c r="L176" s="38">
        <v>7.8029999999999999</v>
      </c>
      <c r="M176" s="28" t="s">
        <v>137</v>
      </c>
      <c r="N176" s="38">
        <v>6.32</v>
      </c>
      <c r="O176" s="28" t="s">
        <v>137</v>
      </c>
      <c r="P176" s="38">
        <v>2.5659999999999998</v>
      </c>
      <c r="Q176" s="38">
        <v>2.5960000000000001</v>
      </c>
      <c r="R176" s="28" t="s">
        <v>137</v>
      </c>
      <c r="S176" s="38">
        <v>11.289</v>
      </c>
      <c r="T176" s="29">
        <f>COUNT(O171:O182)</f>
        <v>0</v>
      </c>
      <c r="V176" s="42"/>
      <c r="W176" s="42"/>
      <c r="X176" s="42"/>
      <c r="Y176" s="42"/>
      <c r="Z176" s="42"/>
      <c r="AA176" s="42"/>
      <c r="AB176" s="42"/>
      <c r="AC176" s="49"/>
      <c r="AD176" s="50"/>
      <c r="AE176" s="49"/>
      <c r="AF176" s="50"/>
      <c r="AG176" s="49"/>
      <c r="AH176" s="50"/>
      <c r="AI176" s="50"/>
      <c r="AJ176" s="49"/>
      <c r="AK176" s="50"/>
      <c r="AL176" s="42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</row>
    <row r="177" spans="1:53" x14ac:dyDescent="0.2">
      <c r="A177" s="29">
        <v>271</v>
      </c>
      <c r="B177" s="29" t="s">
        <v>93</v>
      </c>
      <c r="C177" s="29" t="s">
        <v>94</v>
      </c>
      <c r="D177" s="29" t="s">
        <v>35</v>
      </c>
      <c r="E177" s="29" t="s">
        <v>36</v>
      </c>
      <c r="F177" s="29" t="s">
        <v>37</v>
      </c>
      <c r="G177" s="36">
        <v>1</v>
      </c>
      <c r="H177" s="40" t="s">
        <v>22</v>
      </c>
      <c r="I177" s="40" t="s">
        <v>22</v>
      </c>
      <c r="J177" s="29" t="s">
        <v>28</v>
      </c>
      <c r="K177" s="28">
        <v>139.34200000000001</v>
      </c>
      <c r="L177" s="38">
        <v>8.218</v>
      </c>
      <c r="M177" s="28" t="s">
        <v>137</v>
      </c>
      <c r="N177" s="38">
        <v>6.2220000000000004</v>
      </c>
      <c r="O177" s="28" t="s">
        <v>137</v>
      </c>
      <c r="P177" s="38">
        <v>2.8490000000000002</v>
      </c>
      <c r="Q177" s="38">
        <v>3.0710000000000002</v>
      </c>
      <c r="R177" s="28" t="s">
        <v>137</v>
      </c>
      <c r="S177" s="38">
        <v>11.986000000000001</v>
      </c>
      <c r="T177" s="29">
        <f>COUNT(P171:P182)</f>
        <v>12</v>
      </c>
      <c r="V177" s="42"/>
      <c r="W177" s="42"/>
      <c r="X177" s="42"/>
      <c r="Y177" s="42"/>
      <c r="Z177" s="42"/>
      <c r="AA177" s="42"/>
      <c r="AB177" s="42"/>
      <c r="AC177" s="49"/>
      <c r="AD177" s="50"/>
      <c r="AE177" s="49"/>
      <c r="AF177" s="50"/>
      <c r="AG177" s="49"/>
      <c r="AH177" s="50"/>
      <c r="AI177" s="50"/>
      <c r="AJ177" s="49"/>
      <c r="AK177" s="50"/>
      <c r="AL177" s="42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</row>
    <row r="178" spans="1:53" x14ac:dyDescent="0.2">
      <c r="A178" s="29">
        <v>272</v>
      </c>
      <c r="B178" s="29" t="s">
        <v>93</v>
      </c>
      <c r="C178" s="29" t="s">
        <v>94</v>
      </c>
      <c r="D178" s="29" t="s">
        <v>35</v>
      </c>
      <c r="E178" s="29" t="s">
        <v>36</v>
      </c>
      <c r="F178" s="29" t="s">
        <v>37</v>
      </c>
      <c r="G178" s="39">
        <v>2</v>
      </c>
      <c r="H178" s="40" t="s">
        <v>22</v>
      </c>
      <c r="I178" s="40" t="s">
        <v>22</v>
      </c>
      <c r="J178" s="29" t="s">
        <v>29</v>
      </c>
      <c r="K178" s="28">
        <v>137.976</v>
      </c>
      <c r="L178" s="38">
        <v>7.7960000000000003</v>
      </c>
      <c r="M178" s="28" t="s">
        <v>137</v>
      </c>
      <c r="N178" s="38">
        <v>6.2480000000000002</v>
      </c>
      <c r="O178" s="28" t="s">
        <v>137</v>
      </c>
      <c r="P178" s="38">
        <v>2.7330000000000001</v>
      </c>
      <c r="Q178" s="38">
        <v>3.0059999999999998</v>
      </c>
      <c r="R178" s="28" t="s">
        <v>137</v>
      </c>
      <c r="S178" s="38">
        <v>11.342000000000001</v>
      </c>
      <c r="T178" s="29">
        <f>COUNT(Q171:Q182)</f>
        <v>12</v>
      </c>
      <c r="V178" s="42"/>
      <c r="W178" s="42"/>
      <c r="X178" s="42"/>
      <c r="Y178" s="42"/>
      <c r="Z178" s="42"/>
      <c r="AA178" s="42"/>
      <c r="AB178" s="42"/>
      <c r="AC178" s="49"/>
      <c r="AD178" s="50"/>
      <c r="AE178" s="49"/>
      <c r="AF178" s="50"/>
      <c r="AG178" s="49"/>
      <c r="AH178" s="50"/>
      <c r="AI178" s="50"/>
      <c r="AJ178" s="49"/>
      <c r="AK178" s="50"/>
      <c r="AL178" s="42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</row>
    <row r="179" spans="1:53" x14ac:dyDescent="0.2">
      <c r="A179" s="29">
        <v>273</v>
      </c>
      <c r="B179" s="29" t="s">
        <v>93</v>
      </c>
      <c r="C179" s="29" t="s">
        <v>94</v>
      </c>
      <c r="D179" s="29" t="s">
        <v>35</v>
      </c>
      <c r="E179" s="29" t="s">
        <v>36</v>
      </c>
      <c r="F179" s="29" t="s">
        <v>37</v>
      </c>
      <c r="G179" s="41">
        <v>3</v>
      </c>
      <c r="H179" s="40" t="s">
        <v>22</v>
      </c>
      <c r="I179" s="40" t="s">
        <v>22</v>
      </c>
      <c r="J179" s="29" t="s">
        <v>30</v>
      </c>
      <c r="K179" s="28">
        <v>138.41200000000001</v>
      </c>
      <c r="L179" s="38">
        <v>7.835</v>
      </c>
      <c r="M179" s="28" t="s">
        <v>137</v>
      </c>
      <c r="N179" s="38">
        <v>6.5069999999999997</v>
      </c>
      <c r="O179" s="28" t="s">
        <v>137</v>
      </c>
      <c r="P179" s="38">
        <v>2.645</v>
      </c>
      <c r="Q179" s="38">
        <v>2.7269999999999999</v>
      </c>
      <c r="R179" s="28" t="s">
        <v>137</v>
      </c>
      <c r="S179" s="38">
        <v>11.231</v>
      </c>
      <c r="T179" s="29">
        <f>COUNT(R171:R182)</f>
        <v>0</v>
      </c>
      <c r="V179" s="42"/>
      <c r="W179" s="42"/>
      <c r="X179" s="42"/>
      <c r="Y179" s="42"/>
      <c r="Z179" s="42"/>
      <c r="AA179" s="42"/>
      <c r="AB179" s="42"/>
      <c r="AC179" s="49"/>
      <c r="AD179" s="50"/>
      <c r="AE179" s="49"/>
      <c r="AF179" s="50"/>
      <c r="AG179" s="49"/>
      <c r="AH179" s="50"/>
      <c r="AI179" s="50"/>
      <c r="AJ179" s="49"/>
      <c r="AK179" s="50"/>
      <c r="AL179" s="42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</row>
    <row r="180" spans="1:53" x14ac:dyDescent="0.2">
      <c r="A180" s="29">
        <v>274</v>
      </c>
      <c r="B180" s="29" t="s">
        <v>93</v>
      </c>
      <c r="C180" s="29" t="s">
        <v>94</v>
      </c>
      <c r="D180" s="29" t="s">
        <v>35</v>
      </c>
      <c r="E180" s="29" t="s">
        <v>36</v>
      </c>
      <c r="F180" s="29" t="s">
        <v>37</v>
      </c>
      <c r="G180" s="36">
        <v>1</v>
      </c>
      <c r="H180" s="40" t="s">
        <v>22</v>
      </c>
      <c r="I180" s="40" t="s">
        <v>22</v>
      </c>
      <c r="J180" s="29" t="s">
        <v>31</v>
      </c>
      <c r="K180" s="28">
        <v>138.40700000000001</v>
      </c>
      <c r="L180" s="38">
        <v>8.0220000000000002</v>
      </c>
      <c r="M180" s="28" t="s">
        <v>137</v>
      </c>
      <c r="N180" s="38">
        <v>6.1349999999999998</v>
      </c>
      <c r="O180" s="28" t="s">
        <v>137</v>
      </c>
      <c r="P180" s="38">
        <v>2.4510000000000001</v>
      </c>
      <c r="Q180" s="38">
        <v>2.895</v>
      </c>
      <c r="R180" s="28" t="s">
        <v>137</v>
      </c>
      <c r="S180" s="38">
        <v>11.472</v>
      </c>
      <c r="T180" s="29">
        <f>COUNT(S171:S182)</f>
        <v>12</v>
      </c>
      <c r="V180" s="42"/>
      <c r="W180" s="42"/>
      <c r="X180" s="42"/>
      <c r="Y180" s="42"/>
      <c r="Z180" s="42"/>
      <c r="AA180" s="42"/>
      <c r="AB180" s="42"/>
      <c r="AC180" s="49"/>
      <c r="AD180" s="50"/>
      <c r="AE180" s="49"/>
      <c r="AF180" s="50"/>
      <c r="AG180" s="49"/>
      <c r="AH180" s="50"/>
      <c r="AI180" s="50"/>
      <c r="AJ180" s="49"/>
      <c r="AK180" s="50"/>
      <c r="AL180" s="42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</row>
    <row r="181" spans="1:53" x14ac:dyDescent="0.2">
      <c r="A181" s="29">
        <v>275</v>
      </c>
      <c r="B181" s="29" t="s">
        <v>93</v>
      </c>
      <c r="C181" s="29" t="s">
        <v>94</v>
      </c>
      <c r="D181" s="29" t="s">
        <v>35</v>
      </c>
      <c r="E181" s="29" t="s">
        <v>36</v>
      </c>
      <c r="F181" s="29" t="s">
        <v>37</v>
      </c>
      <c r="G181" s="39">
        <v>2</v>
      </c>
      <c r="H181" s="40" t="s">
        <v>22</v>
      </c>
      <c r="I181" s="40" t="s">
        <v>22</v>
      </c>
      <c r="J181" s="29" t="s">
        <v>32</v>
      </c>
      <c r="K181" s="28">
        <v>138.76900000000001</v>
      </c>
      <c r="L181" s="38">
        <v>7.9630000000000001</v>
      </c>
      <c r="M181" s="28" t="s">
        <v>137</v>
      </c>
      <c r="N181" s="38">
        <v>6.0129999999999999</v>
      </c>
      <c r="O181" s="28" t="s">
        <v>137</v>
      </c>
      <c r="P181" s="38">
        <v>2.6579999999999999</v>
      </c>
      <c r="Q181" s="38">
        <v>2.7389999999999999</v>
      </c>
      <c r="R181" s="28" t="s">
        <v>137</v>
      </c>
      <c r="S181" s="38">
        <v>11.352</v>
      </c>
      <c r="T181" s="29">
        <f>T171-SUM(T172:T180)</f>
        <v>0</v>
      </c>
      <c r="V181" s="42"/>
      <c r="W181" s="42"/>
      <c r="X181" s="42"/>
      <c r="Y181" s="42"/>
      <c r="Z181" s="42"/>
      <c r="AA181" s="42"/>
      <c r="AB181" s="42"/>
      <c r="AC181" s="49"/>
      <c r="AD181" s="50"/>
      <c r="AE181" s="49"/>
      <c r="AF181" s="50"/>
      <c r="AG181" s="49"/>
      <c r="AH181" s="50"/>
      <c r="AI181" s="50"/>
      <c r="AJ181" s="49"/>
      <c r="AK181" s="50"/>
      <c r="AL181" s="42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</row>
    <row r="182" spans="1:53" x14ac:dyDescent="0.2">
      <c r="A182" s="29">
        <v>276</v>
      </c>
      <c r="B182" s="29" t="s">
        <v>93</v>
      </c>
      <c r="C182" s="29" t="s">
        <v>94</v>
      </c>
      <c r="D182" s="29" t="s">
        <v>35</v>
      </c>
      <c r="E182" s="29" t="s">
        <v>36</v>
      </c>
      <c r="F182" s="29" t="s">
        <v>37</v>
      </c>
      <c r="G182" s="41">
        <v>3</v>
      </c>
      <c r="H182" s="40" t="s">
        <v>22</v>
      </c>
      <c r="I182" s="40" t="s">
        <v>22</v>
      </c>
      <c r="J182" s="29" t="s">
        <v>33</v>
      </c>
      <c r="K182" s="28">
        <v>137.09200000000001</v>
      </c>
      <c r="L182" s="38">
        <v>7.3739999999999997</v>
      </c>
      <c r="M182" s="28" t="s">
        <v>137</v>
      </c>
      <c r="N182" s="38">
        <v>5.9269999999999996</v>
      </c>
      <c r="O182" s="28" t="s">
        <v>137</v>
      </c>
      <c r="P182" s="38">
        <v>2.1120000000000001</v>
      </c>
      <c r="Q182" s="38">
        <v>2.5299999999999998</v>
      </c>
      <c r="R182" s="28" t="s">
        <v>137</v>
      </c>
      <c r="S182" s="38">
        <v>10.903</v>
      </c>
      <c r="T182" s="29">
        <v>9999</v>
      </c>
      <c r="V182" s="42"/>
      <c r="W182" s="42"/>
      <c r="X182" s="42"/>
      <c r="Y182" s="42"/>
      <c r="Z182" s="42"/>
      <c r="AA182" s="42"/>
      <c r="AB182" s="42"/>
      <c r="AC182" s="49"/>
      <c r="AD182" s="50"/>
      <c r="AE182" s="49"/>
      <c r="AF182" s="50"/>
      <c r="AG182" s="49"/>
      <c r="AH182" s="50"/>
      <c r="AI182" s="49"/>
      <c r="AJ182" s="49"/>
      <c r="AK182" s="50"/>
      <c r="AL182" s="42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</row>
    <row r="183" spans="1:53" s="26" customFormat="1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47"/>
      <c r="L183" s="48"/>
      <c r="M183" s="47"/>
      <c r="N183" s="48"/>
      <c r="O183" s="47"/>
      <c r="P183" s="48"/>
      <c r="Q183" s="48"/>
      <c r="R183" s="47"/>
      <c r="S183" s="48"/>
      <c r="T183" s="21"/>
      <c r="U183" s="25"/>
      <c r="V183" s="42"/>
      <c r="W183" s="42"/>
      <c r="X183" s="42"/>
      <c r="Y183" s="42"/>
      <c r="Z183" s="42"/>
      <c r="AA183" s="42"/>
      <c r="AB183" s="42"/>
      <c r="AC183" s="49"/>
      <c r="AD183" s="50"/>
      <c r="AE183" s="49"/>
      <c r="AF183" s="50"/>
      <c r="AG183" s="49"/>
      <c r="AH183" s="50"/>
      <c r="AI183" s="50"/>
      <c r="AJ183" s="49"/>
      <c r="AK183" s="50"/>
      <c r="AL183" s="42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</row>
    <row r="184" spans="1:53" x14ac:dyDescent="0.2">
      <c r="A184" s="29">
        <v>277</v>
      </c>
      <c r="B184" s="29" t="s">
        <v>149</v>
      </c>
      <c r="C184" s="29" t="s">
        <v>135</v>
      </c>
      <c r="D184" s="30" t="s">
        <v>35</v>
      </c>
      <c r="E184" s="30" t="s">
        <v>36</v>
      </c>
      <c r="F184" s="35" t="s">
        <v>37</v>
      </c>
      <c r="G184" s="31">
        <v>1</v>
      </c>
      <c r="H184" s="33" t="s">
        <v>22</v>
      </c>
      <c r="I184" s="33" t="s">
        <v>22</v>
      </c>
      <c r="J184" s="30" t="s">
        <v>24</v>
      </c>
      <c r="K184" s="35" t="s">
        <v>137</v>
      </c>
      <c r="L184" s="38">
        <v>8.16</v>
      </c>
      <c r="M184" s="35" t="s">
        <v>137</v>
      </c>
      <c r="N184" s="38">
        <v>6.149</v>
      </c>
      <c r="O184" s="35" t="s">
        <v>137</v>
      </c>
      <c r="P184" s="29">
        <v>2.8519999999999999</v>
      </c>
      <c r="Q184" s="29">
        <v>3.081</v>
      </c>
      <c r="R184" s="35" t="s">
        <v>137</v>
      </c>
      <c r="S184" s="38">
        <v>12.021000000000001</v>
      </c>
      <c r="T184" s="29">
        <f>COUNT(K184:S195)</f>
        <v>60</v>
      </c>
      <c r="V184" s="42"/>
      <c r="W184" s="42"/>
      <c r="X184" s="42"/>
      <c r="Y184" s="42"/>
      <c r="Z184" s="42"/>
      <c r="AA184" s="42"/>
      <c r="AB184" s="42"/>
      <c r="AC184" s="49"/>
      <c r="AD184" s="50"/>
      <c r="AE184" s="49"/>
      <c r="AF184" s="50"/>
      <c r="AG184" s="49"/>
      <c r="AH184" s="50"/>
      <c r="AI184" s="50"/>
      <c r="AJ184" s="49"/>
      <c r="AK184" s="50"/>
      <c r="AL184" s="42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</row>
    <row r="185" spans="1:53" x14ac:dyDescent="0.2">
      <c r="A185" s="29">
        <v>278</v>
      </c>
      <c r="B185" s="29" t="s">
        <v>149</v>
      </c>
      <c r="C185" s="29" t="s">
        <v>135</v>
      </c>
      <c r="D185" s="30" t="s">
        <v>35</v>
      </c>
      <c r="E185" s="30" t="s">
        <v>36</v>
      </c>
      <c r="F185" s="35" t="s">
        <v>37</v>
      </c>
      <c r="G185" s="32">
        <v>2</v>
      </c>
      <c r="H185" s="33" t="s">
        <v>22</v>
      </c>
      <c r="I185" s="33" t="s">
        <v>22</v>
      </c>
      <c r="J185" s="30" t="s">
        <v>45</v>
      </c>
      <c r="K185" s="35" t="s">
        <v>137</v>
      </c>
      <c r="L185" s="38">
        <v>7.7750000000000004</v>
      </c>
      <c r="M185" s="35" t="s">
        <v>137</v>
      </c>
      <c r="N185" s="38">
        <v>6.194</v>
      </c>
      <c r="O185" s="35" t="s">
        <v>137</v>
      </c>
      <c r="P185" s="29">
        <v>2.6920000000000002</v>
      </c>
      <c r="Q185" s="29">
        <v>2.9550000000000001</v>
      </c>
      <c r="R185" s="35" t="s">
        <v>137</v>
      </c>
      <c r="S185" s="38">
        <v>11.302</v>
      </c>
      <c r="T185" s="29">
        <f>COUNT(K184:K195)</f>
        <v>0</v>
      </c>
      <c r="V185" s="42"/>
      <c r="W185" s="42"/>
      <c r="X185" s="42"/>
      <c r="Y185" s="42"/>
      <c r="Z185" s="42"/>
      <c r="AA185" s="42"/>
      <c r="AB185" s="42"/>
      <c r="AC185" s="49"/>
      <c r="AD185" s="50"/>
      <c r="AE185" s="49"/>
      <c r="AF185" s="50"/>
      <c r="AG185" s="49"/>
      <c r="AH185" s="50"/>
      <c r="AI185" s="50"/>
      <c r="AJ185" s="49"/>
      <c r="AK185" s="50"/>
      <c r="AL185" s="42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</row>
    <row r="186" spans="1:53" x14ac:dyDescent="0.2">
      <c r="A186" s="29">
        <v>279</v>
      </c>
      <c r="B186" s="29" t="s">
        <v>149</v>
      </c>
      <c r="C186" s="29" t="s">
        <v>135</v>
      </c>
      <c r="D186" s="30" t="s">
        <v>35</v>
      </c>
      <c r="E186" s="30" t="s">
        <v>36</v>
      </c>
      <c r="F186" s="35" t="s">
        <v>37</v>
      </c>
      <c r="G186" s="34">
        <v>3</v>
      </c>
      <c r="H186" s="33" t="s">
        <v>22</v>
      </c>
      <c r="I186" s="33" t="s">
        <v>22</v>
      </c>
      <c r="J186" s="30" t="s">
        <v>46</v>
      </c>
      <c r="K186" s="35" t="s">
        <v>137</v>
      </c>
      <c r="L186" s="38">
        <v>7.7530000000000001</v>
      </c>
      <c r="M186" s="35" t="s">
        <v>137</v>
      </c>
      <c r="N186" s="38">
        <v>6.4329999999999998</v>
      </c>
      <c r="O186" s="35" t="s">
        <v>137</v>
      </c>
      <c r="P186" s="29">
        <v>2.5499999999999998</v>
      </c>
      <c r="Q186" s="29">
        <v>2.6579999999999999</v>
      </c>
      <c r="R186" s="35" t="s">
        <v>137</v>
      </c>
      <c r="S186" s="38">
        <v>11.148999999999999</v>
      </c>
      <c r="T186" s="29">
        <f>COUNT(L184:L195)</f>
        <v>12</v>
      </c>
      <c r="V186" s="42"/>
      <c r="W186" s="42"/>
      <c r="X186" s="42"/>
      <c r="Y186" s="42"/>
      <c r="Z186" s="42"/>
      <c r="AA186" s="42"/>
      <c r="AB186" s="42"/>
      <c r="AC186" s="49"/>
      <c r="AD186" s="50"/>
      <c r="AE186" s="49"/>
      <c r="AF186" s="50"/>
      <c r="AG186" s="49"/>
      <c r="AH186" s="49"/>
      <c r="AI186" s="49"/>
      <c r="AJ186" s="49"/>
      <c r="AK186" s="50"/>
      <c r="AL186" s="42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</row>
    <row r="187" spans="1:53" x14ac:dyDescent="0.2">
      <c r="A187" s="29">
        <v>280</v>
      </c>
      <c r="B187" s="29" t="s">
        <v>149</v>
      </c>
      <c r="C187" s="29" t="s">
        <v>135</v>
      </c>
      <c r="D187" s="30" t="s">
        <v>35</v>
      </c>
      <c r="E187" s="30" t="s">
        <v>36</v>
      </c>
      <c r="F187" s="35" t="s">
        <v>37</v>
      </c>
      <c r="G187" s="31">
        <v>1</v>
      </c>
      <c r="H187" s="33" t="s">
        <v>22</v>
      </c>
      <c r="I187" s="33" t="s">
        <v>22</v>
      </c>
      <c r="J187" s="30" t="s">
        <v>25</v>
      </c>
      <c r="K187" s="35" t="s">
        <v>137</v>
      </c>
      <c r="L187" s="38">
        <v>8.0109999999999992</v>
      </c>
      <c r="M187" s="35" t="s">
        <v>137</v>
      </c>
      <c r="N187" s="38">
        <v>6.1280000000000001</v>
      </c>
      <c r="O187" s="35" t="s">
        <v>137</v>
      </c>
      <c r="P187" s="29">
        <v>2.4449999999999998</v>
      </c>
      <c r="Q187" s="29">
        <v>2.8809999999999998</v>
      </c>
      <c r="R187" s="35" t="s">
        <v>137</v>
      </c>
      <c r="S187" s="38">
        <v>11.433999999999999</v>
      </c>
      <c r="T187" s="29">
        <f>COUNT(M184:M195)</f>
        <v>0</v>
      </c>
      <c r="V187" s="42"/>
      <c r="W187" s="42"/>
      <c r="X187" s="42"/>
      <c r="Y187" s="42"/>
      <c r="Z187" s="42"/>
      <c r="AA187" s="42"/>
      <c r="AB187" s="42"/>
      <c r="AC187" s="49"/>
      <c r="AD187" s="50"/>
      <c r="AE187" s="49"/>
      <c r="AF187" s="50"/>
      <c r="AG187" s="49"/>
      <c r="AH187" s="50"/>
      <c r="AI187" s="50"/>
      <c r="AJ187" s="49"/>
      <c r="AK187" s="50"/>
      <c r="AL187" s="42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</row>
    <row r="188" spans="1:53" x14ac:dyDescent="0.2">
      <c r="A188" s="29">
        <v>281</v>
      </c>
      <c r="B188" s="29" t="s">
        <v>149</v>
      </c>
      <c r="C188" s="29" t="s">
        <v>135</v>
      </c>
      <c r="D188" s="30" t="s">
        <v>35</v>
      </c>
      <c r="E188" s="30" t="s">
        <v>36</v>
      </c>
      <c r="F188" s="35" t="s">
        <v>37</v>
      </c>
      <c r="G188" s="32">
        <v>2</v>
      </c>
      <c r="H188" s="33" t="s">
        <v>22</v>
      </c>
      <c r="I188" s="33" t="s">
        <v>22</v>
      </c>
      <c r="J188" s="30" t="s">
        <v>26</v>
      </c>
      <c r="K188" s="35" t="s">
        <v>137</v>
      </c>
      <c r="L188" s="38">
        <v>7.9640000000000004</v>
      </c>
      <c r="M188" s="35" t="s">
        <v>137</v>
      </c>
      <c r="N188" s="38">
        <v>6.032</v>
      </c>
      <c r="O188" s="35" t="s">
        <v>137</v>
      </c>
      <c r="P188" s="29">
        <v>2.6669999999999998</v>
      </c>
      <c r="Q188" s="29">
        <v>2.774</v>
      </c>
      <c r="R188" s="35" t="s">
        <v>137</v>
      </c>
      <c r="S188" s="38">
        <v>11.478999999999999</v>
      </c>
      <c r="T188" s="29">
        <f>COUNT(N184:N195)</f>
        <v>12</v>
      </c>
      <c r="V188" s="42"/>
      <c r="W188" s="42"/>
      <c r="X188" s="42"/>
      <c r="Y188" s="42"/>
      <c r="Z188" s="42"/>
      <c r="AA188" s="42"/>
      <c r="AB188" s="42"/>
      <c r="AC188" s="49"/>
      <c r="AD188" s="50"/>
      <c r="AE188" s="49"/>
      <c r="AF188" s="50"/>
      <c r="AG188" s="49"/>
      <c r="AH188" s="50"/>
      <c r="AI188" s="50"/>
      <c r="AJ188" s="49"/>
      <c r="AK188" s="50"/>
      <c r="AL188" s="42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</row>
    <row r="189" spans="1:53" x14ac:dyDescent="0.2">
      <c r="A189" s="29">
        <v>282</v>
      </c>
      <c r="B189" s="29" t="s">
        <v>149</v>
      </c>
      <c r="C189" s="29" t="s">
        <v>135</v>
      </c>
      <c r="D189" s="30" t="s">
        <v>35</v>
      </c>
      <c r="E189" s="30" t="s">
        <v>36</v>
      </c>
      <c r="F189" s="35" t="s">
        <v>37</v>
      </c>
      <c r="G189" s="34">
        <v>3</v>
      </c>
      <c r="H189" s="33" t="s">
        <v>22</v>
      </c>
      <c r="I189" s="33" t="s">
        <v>22</v>
      </c>
      <c r="J189" s="30" t="s">
        <v>27</v>
      </c>
      <c r="K189" s="35" t="s">
        <v>137</v>
      </c>
      <c r="L189" s="38">
        <v>7.7530000000000001</v>
      </c>
      <c r="M189" s="35" t="s">
        <v>137</v>
      </c>
      <c r="N189" s="38">
        <v>6.2770000000000001</v>
      </c>
      <c r="O189" s="35" t="s">
        <v>137</v>
      </c>
      <c r="P189" s="29">
        <v>2.5179999999999998</v>
      </c>
      <c r="Q189" s="29">
        <v>2.5179999999999998</v>
      </c>
      <c r="R189" s="35" t="s">
        <v>137</v>
      </c>
      <c r="S189" s="38">
        <v>11.263999999999999</v>
      </c>
      <c r="T189" s="29">
        <f>COUNT(O184:O195)</f>
        <v>0</v>
      </c>
      <c r="V189" s="42"/>
      <c r="W189" s="42"/>
      <c r="X189" s="42"/>
      <c r="Y189" s="42"/>
      <c r="Z189" s="42"/>
      <c r="AA189" s="42"/>
      <c r="AB189" s="42"/>
      <c r="AC189" s="49"/>
      <c r="AD189" s="50"/>
      <c r="AE189" s="49"/>
      <c r="AF189" s="50"/>
      <c r="AG189" s="49"/>
      <c r="AH189" s="50"/>
      <c r="AI189" s="50"/>
      <c r="AJ189" s="49"/>
      <c r="AK189" s="50"/>
      <c r="AL189" s="42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</row>
    <row r="190" spans="1:53" x14ac:dyDescent="0.2">
      <c r="A190" s="29">
        <v>283</v>
      </c>
      <c r="B190" s="29" t="s">
        <v>149</v>
      </c>
      <c r="C190" s="29" t="s">
        <v>135</v>
      </c>
      <c r="D190" s="30" t="s">
        <v>35</v>
      </c>
      <c r="E190" s="30" t="s">
        <v>36</v>
      </c>
      <c r="F190" s="35" t="s">
        <v>37</v>
      </c>
      <c r="G190" s="31">
        <v>1</v>
      </c>
      <c r="H190" s="33" t="s">
        <v>22</v>
      </c>
      <c r="I190" s="33" t="s">
        <v>22</v>
      </c>
      <c r="J190" s="30" t="s">
        <v>63</v>
      </c>
      <c r="K190" s="35" t="s">
        <v>137</v>
      </c>
      <c r="L190" s="38">
        <v>8.0239999999999991</v>
      </c>
      <c r="M190" s="35" t="s">
        <v>137</v>
      </c>
      <c r="N190" s="38">
        <v>6.109</v>
      </c>
      <c r="O190" s="35" t="s">
        <v>137</v>
      </c>
      <c r="P190" s="29">
        <v>2.6880000000000002</v>
      </c>
      <c r="Q190" s="29">
        <v>2.96</v>
      </c>
      <c r="R190" s="35" t="s">
        <v>137</v>
      </c>
      <c r="S190" s="38">
        <v>11.89</v>
      </c>
      <c r="T190" s="29">
        <f>COUNT(P184:P195)</f>
        <v>12</v>
      </c>
      <c r="V190" s="42"/>
      <c r="W190" s="42"/>
      <c r="X190" s="42"/>
      <c r="Y190" s="42"/>
      <c r="Z190" s="42"/>
      <c r="AA190" s="42"/>
      <c r="AB190" s="42"/>
      <c r="AC190" s="49"/>
      <c r="AD190" s="50"/>
      <c r="AE190" s="49"/>
      <c r="AF190" s="50"/>
      <c r="AG190" s="49"/>
      <c r="AH190" s="50"/>
      <c r="AI190" s="50"/>
      <c r="AJ190" s="49"/>
      <c r="AK190" s="50"/>
      <c r="AL190" s="42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</row>
    <row r="191" spans="1:53" x14ac:dyDescent="0.2">
      <c r="A191" s="29">
        <v>284</v>
      </c>
      <c r="B191" s="29" t="s">
        <v>149</v>
      </c>
      <c r="C191" s="29" t="s">
        <v>135</v>
      </c>
      <c r="D191" s="30" t="s">
        <v>35</v>
      </c>
      <c r="E191" s="30" t="s">
        <v>36</v>
      </c>
      <c r="F191" s="35" t="s">
        <v>37</v>
      </c>
      <c r="G191" s="32">
        <v>2</v>
      </c>
      <c r="H191" s="33" t="s">
        <v>22</v>
      </c>
      <c r="I191" s="33" t="s">
        <v>22</v>
      </c>
      <c r="J191" s="30" t="s">
        <v>90</v>
      </c>
      <c r="K191" s="35" t="s">
        <v>137</v>
      </c>
      <c r="L191" s="38">
        <v>7.7610000000000001</v>
      </c>
      <c r="M191" s="35" t="s">
        <v>137</v>
      </c>
      <c r="N191" s="38">
        <v>6.1710000000000003</v>
      </c>
      <c r="O191" s="35" t="s">
        <v>137</v>
      </c>
      <c r="P191" s="29">
        <v>2.6659999999999999</v>
      </c>
      <c r="Q191" s="29">
        <v>2.9159999999999999</v>
      </c>
      <c r="R191" s="35" t="s">
        <v>137</v>
      </c>
      <c r="S191" s="38">
        <v>11.302</v>
      </c>
      <c r="T191" s="29">
        <f>COUNT(Q184:Q195)</f>
        <v>12</v>
      </c>
      <c r="V191" s="42"/>
      <c r="W191" s="42"/>
      <c r="X191" s="42"/>
      <c r="Y191" s="42"/>
      <c r="Z191" s="42"/>
      <c r="AA191" s="42"/>
      <c r="AB191" s="42"/>
      <c r="AC191" s="49"/>
      <c r="AD191" s="50"/>
      <c r="AE191" s="49"/>
      <c r="AF191" s="50"/>
      <c r="AG191" s="49"/>
      <c r="AH191" s="50"/>
      <c r="AI191" s="50"/>
      <c r="AJ191" s="49"/>
      <c r="AK191" s="50"/>
      <c r="AL191" s="42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</row>
    <row r="192" spans="1:53" x14ac:dyDescent="0.2">
      <c r="A192" s="29">
        <v>285</v>
      </c>
      <c r="B192" s="29" t="s">
        <v>149</v>
      </c>
      <c r="C192" s="29" t="s">
        <v>135</v>
      </c>
      <c r="D192" s="30" t="s">
        <v>35</v>
      </c>
      <c r="E192" s="30" t="s">
        <v>36</v>
      </c>
      <c r="F192" s="35" t="s">
        <v>37</v>
      </c>
      <c r="G192" s="34">
        <v>3</v>
      </c>
      <c r="H192" s="33" t="s">
        <v>22</v>
      </c>
      <c r="I192" s="33" t="s">
        <v>22</v>
      </c>
      <c r="J192" s="30" t="s">
        <v>91</v>
      </c>
      <c r="K192" s="35" t="s">
        <v>137</v>
      </c>
      <c r="L192" s="38">
        <v>7.7530000000000001</v>
      </c>
      <c r="M192" s="35" t="s">
        <v>137</v>
      </c>
      <c r="N192" s="38">
        <v>6.4340000000000002</v>
      </c>
      <c r="O192" s="35" t="s">
        <v>137</v>
      </c>
      <c r="P192" s="29">
        <v>2.5499999999999998</v>
      </c>
      <c r="Q192" s="29">
        <v>2.6589999999999998</v>
      </c>
      <c r="R192" s="35" t="s">
        <v>137</v>
      </c>
      <c r="S192" s="38">
        <v>11.022</v>
      </c>
      <c r="T192" s="29">
        <f>COUNT(R184:R195)</f>
        <v>0</v>
      </c>
      <c r="V192" s="42"/>
      <c r="W192" s="42"/>
      <c r="X192" s="42"/>
      <c r="Y192" s="42"/>
      <c r="Z192" s="42"/>
      <c r="AA192" s="42"/>
      <c r="AB192" s="42"/>
      <c r="AC192" s="49"/>
      <c r="AD192" s="50"/>
      <c r="AE192" s="49"/>
      <c r="AF192" s="50"/>
      <c r="AG192" s="49"/>
      <c r="AH192" s="49"/>
      <c r="AI192" s="49"/>
      <c r="AJ192" s="49"/>
      <c r="AK192" s="50"/>
      <c r="AL192" s="42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</row>
    <row r="193" spans="1:53" x14ac:dyDescent="0.2">
      <c r="A193" s="29">
        <v>286</v>
      </c>
      <c r="B193" s="29" t="s">
        <v>149</v>
      </c>
      <c r="C193" s="29" t="s">
        <v>135</v>
      </c>
      <c r="D193" s="30" t="s">
        <v>35</v>
      </c>
      <c r="E193" s="30" t="s">
        <v>36</v>
      </c>
      <c r="F193" s="35" t="s">
        <v>37</v>
      </c>
      <c r="G193" s="31">
        <v>1</v>
      </c>
      <c r="H193" s="33" t="s">
        <v>22</v>
      </c>
      <c r="I193" s="33" t="s">
        <v>22</v>
      </c>
      <c r="J193" s="30" t="s">
        <v>151</v>
      </c>
      <c r="K193" s="35" t="s">
        <v>137</v>
      </c>
      <c r="L193" s="38">
        <v>8.0169999999999995</v>
      </c>
      <c r="M193" s="35" t="s">
        <v>137</v>
      </c>
      <c r="N193" s="38">
        <v>6.1369999999999996</v>
      </c>
      <c r="O193" s="35" t="s">
        <v>137</v>
      </c>
      <c r="P193" s="29">
        <v>2.4129999999999998</v>
      </c>
      <c r="Q193" s="29">
        <v>2.8809999999999998</v>
      </c>
      <c r="R193" s="35" t="s">
        <v>137</v>
      </c>
      <c r="S193" s="38">
        <v>11.666</v>
      </c>
      <c r="T193" s="29">
        <f>COUNT(S184:S195)</f>
        <v>12</v>
      </c>
      <c r="V193" s="42"/>
      <c r="W193" s="42"/>
      <c r="X193" s="42"/>
      <c r="Y193" s="42"/>
      <c r="Z193" s="42"/>
      <c r="AA193" s="42"/>
      <c r="AB193" s="42"/>
      <c r="AC193" s="49"/>
      <c r="AD193" s="50"/>
      <c r="AE193" s="49"/>
      <c r="AF193" s="50"/>
      <c r="AG193" s="49"/>
      <c r="AH193" s="50"/>
      <c r="AI193" s="50"/>
      <c r="AJ193" s="49"/>
      <c r="AK193" s="50"/>
      <c r="AL193" s="42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</row>
    <row r="194" spans="1:53" x14ac:dyDescent="0.2">
      <c r="A194" s="29">
        <v>287</v>
      </c>
      <c r="B194" s="29" t="s">
        <v>149</v>
      </c>
      <c r="C194" s="29" t="s">
        <v>135</v>
      </c>
      <c r="D194" s="30" t="s">
        <v>35</v>
      </c>
      <c r="E194" s="30" t="s">
        <v>36</v>
      </c>
      <c r="F194" s="35" t="s">
        <v>37</v>
      </c>
      <c r="G194" s="32">
        <v>2</v>
      </c>
      <c r="H194" s="33" t="s">
        <v>22</v>
      </c>
      <c r="I194" s="33" t="s">
        <v>22</v>
      </c>
      <c r="J194" s="30" t="s">
        <v>81</v>
      </c>
      <c r="K194" s="35" t="s">
        <v>137</v>
      </c>
      <c r="L194" s="38">
        <v>7.9930000000000003</v>
      </c>
      <c r="M194" s="35" t="s">
        <v>137</v>
      </c>
      <c r="N194" s="38">
        <v>6.0389999999999997</v>
      </c>
      <c r="O194" s="35" t="s">
        <v>137</v>
      </c>
      <c r="P194" s="29">
        <v>2.7109999999999999</v>
      </c>
      <c r="Q194" s="29">
        <v>2.7109999999999999</v>
      </c>
      <c r="R194" s="35" t="s">
        <v>137</v>
      </c>
      <c r="S194" s="38">
        <v>11.531000000000001</v>
      </c>
      <c r="T194" s="29">
        <f>T184-SUM(T185:T193)</f>
        <v>0</v>
      </c>
      <c r="V194" s="42"/>
      <c r="W194" s="42"/>
      <c r="X194" s="42"/>
      <c r="Y194" s="42"/>
      <c r="Z194" s="42"/>
      <c r="AA194" s="42"/>
      <c r="AB194" s="42"/>
      <c r="AC194" s="49"/>
      <c r="AD194" s="50"/>
      <c r="AE194" s="49"/>
      <c r="AF194" s="50"/>
      <c r="AG194" s="49"/>
      <c r="AH194" s="50"/>
      <c r="AI194" s="50"/>
      <c r="AJ194" s="49"/>
      <c r="AK194" s="50"/>
      <c r="AL194" s="42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</row>
    <row r="195" spans="1:53" x14ac:dyDescent="0.2">
      <c r="A195" s="29">
        <v>288</v>
      </c>
      <c r="B195" s="29" t="s">
        <v>149</v>
      </c>
      <c r="C195" s="29" t="s">
        <v>135</v>
      </c>
      <c r="D195" s="30" t="s">
        <v>35</v>
      </c>
      <c r="E195" s="30" t="s">
        <v>36</v>
      </c>
      <c r="F195" s="35" t="s">
        <v>37</v>
      </c>
      <c r="G195" s="34">
        <v>3</v>
      </c>
      <c r="H195" s="33" t="s">
        <v>22</v>
      </c>
      <c r="I195" s="33" t="s">
        <v>22</v>
      </c>
      <c r="J195" s="30" t="s">
        <v>82</v>
      </c>
      <c r="K195" s="35" t="s">
        <v>137</v>
      </c>
      <c r="L195" s="38">
        <v>7.6920000000000002</v>
      </c>
      <c r="M195" s="35" t="s">
        <v>137</v>
      </c>
      <c r="N195" s="38">
        <v>6.2409999999999997</v>
      </c>
      <c r="O195" s="35" t="s">
        <v>137</v>
      </c>
      <c r="P195" s="29">
        <v>2.5979999999999999</v>
      </c>
      <c r="Q195" s="29">
        <v>2.7970000000000002</v>
      </c>
      <c r="R195" s="35" t="s">
        <v>137</v>
      </c>
      <c r="S195" s="38">
        <v>11.241</v>
      </c>
      <c r="T195" s="29">
        <v>9999</v>
      </c>
      <c r="V195" s="42"/>
      <c r="W195" s="42"/>
      <c r="X195" s="42"/>
      <c r="Y195" s="42"/>
      <c r="Z195" s="42"/>
      <c r="AA195" s="42"/>
      <c r="AB195" s="42"/>
      <c r="AC195" s="49"/>
      <c r="AD195" s="50"/>
      <c r="AE195" s="49"/>
      <c r="AF195" s="50"/>
      <c r="AG195" s="49"/>
      <c r="AH195" s="50"/>
      <c r="AI195" s="50"/>
      <c r="AJ195" s="49"/>
      <c r="AK195" s="50"/>
      <c r="AL195" s="42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</row>
    <row r="196" spans="1:53" s="26" customFormat="1" x14ac:dyDescent="0.2">
      <c r="A196" s="21"/>
      <c r="U196" s="25"/>
      <c r="V196" s="42"/>
      <c r="W196" s="42"/>
      <c r="X196" s="42"/>
      <c r="Y196" s="42"/>
      <c r="Z196" s="42"/>
      <c r="AA196" s="42"/>
      <c r="AB196" s="42"/>
      <c r="AC196" s="49"/>
      <c r="AD196" s="50"/>
      <c r="AE196" s="49"/>
      <c r="AF196" s="50"/>
      <c r="AG196" s="49"/>
      <c r="AH196" s="50"/>
      <c r="AI196" s="50"/>
      <c r="AJ196" s="49"/>
      <c r="AK196" s="50"/>
      <c r="AL196" s="42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</row>
    <row r="197" spans="1:53" x14ac:dyDescent="0.2">
      <c r="A197" s="29">
        <v>289</v>
      </c>
      <c r="B197" s="29" t="s">
        <v>95</v>
      </c>
      <c r="C197" s="29" t="s">
        <v>96</v>
      </c>
      <c r="D197" s="29" t="s">
        <v>35</v>
      </c>
      <c r="E197" s="29" t="s">
        <v>36</v>
      </c>
      <c r="F197" s="29" t="s">
        <v>37</v>
      </c>
      <c r="G197" s="36">
        <v>1</v>
      </c>
      <c r="H197" s="40" t="s">
        <v>22</v>
      </c>
      <c r="I197" s="40" t="s">
        <v>22</v>
      </c>
      <c r="J197" s="29" t="s">
        <v>23</v>
      </c>
      <c r="K197" s="28">
        <v>138.84800000000001</v>
      </c>
      <c r="L197" s="38">
        <v>8.0250000000000004</v>
      </c>
      <c r="M197" s="28" t="s">
        <v>137</v>
      </c>
      <c r="N197" s="38">
        <v>6.1130000000000004</v>
      </c>
      <c r="O197" s="28" t="s">
        <v>137</v>
      </c>
      <c r="P197" s="38">
        <v>2.82</v>
      </c>
      <c r="Q197" s="38">
        <v>3.0550000000000002</v>
      </c>
      <c r="R197" s="28">
        <v>144.48599999999999</v>
      </c>
      <c r="S197" s="38">
        <v>11.621</v>
      </c>
      <c r="T197" s="29">
        <f>COUNT(K197:S208)</f>
        <v>84</v>
      </c>
      <c r="V197" s="42"/>
      <c r="W197" s="42"/>
      <c r="X197" s="42"/>
      <c r="Y197" s="42"/>
      <c r="Z197" s="42"/>
      <c r="AA197" s="42"/>
      <c r="AB197" s="42"/>
      <c r="AC197" s="49"/>
      <c r="AD197" s="50"/>
      <c r="AE197" s="49"/>
      <c r="AF197" s="49"/>
      <c r="AG197" s="49"/>
      <c r="AH197" s="49"/>
      <c r="AI197" s="49"/>
      <c r="AJ197" s="49"/>
      <c r="AK197" s="50"/>
      <c r="AL197" s="42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</row>
    <row r="198" spans="1:53" x14ac:dyDescent="0.2">
      <c r="A198" s="29">
        <v>290</v>
      </c>
      <c r="B198" s="29" t="s">
        <v>95</v>
      </c>
      <c r="C198" s="29" t="s">
        <v>96</v>
      </c>
      <c r="D198" s="29" t="s">
        <v>35</v>
      </c>
      <c r="E198" s="29" t="s">
        <v>36</v>
      </c>
      <c r="F198" s="29" t="s">
        <v>37</v>
      </c>
      <c r="G198" s="39">
        <v>2</v>
      </c>
      <c r="H198" s="40" t="s">
        <v>22</v>
      </c>
      <c r="I198" s="40" t="s">
        <v>22</v>
      </c>
      <c r="J198" s="29" t="s">
        <v>24</v>
      </c>
      <c r="K198" s="28">
        <v>134.35</v>
      </c>
      <c r="L198" s="38">
        <v>7.6020000000000003</v>
      </c>
      <c r="M198" s="28" t="s">
        <v>137</v>
      </c>
      <c r="N198" s="38">
        <v>6.1689999999999996</v>
      </c>
      <c r="O198" s="28" t="s">
        <v>137</v>
      </c>
      <c r="P198" s="38">
        <v>2.5409999999999999</v>
      </c>
      <c r="Q198" s="38">
        <v>2.9380000000000002</v>
      </c>
      <c r="R198" s="28">
        <v>144.97800000000001</v>
      </c>
      <c r="S198" s="38">
        <v>11.249000000000001</v>
      </c>
      <c r="T198" s="29">
        <f>COUNT(K197:K208)</f>
        <v>12</v>
      </c>
      <c r="V198" s="42"/>
      <c r="W198" s="42"/>
      <c r="X198" s="42"/>
      <c r="Y198" s="42"/>
      <c r="Z198" s="42"/>
      <c r="AA198" s="42"/>
      <c r="AB198" s="42"/>
      <c r="AC198" s="49"/>
      <c r="AD198" s="50"/>
      <c r="AE198" s="49"/>
      <c r="AF198" s="50"/>
      <c r="AG198" s="49"/>
      <c r="AH198" s="49"/>
      <c r="AI198" s="49"/>
      <c r="AJ198" s="49"/>
      <c r="AK198" s="50"/>
      <c r="AL198" s="42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</row>
    <row r="199" spans="1:53" x14ac:dyDescent="0.2">
      <c r="A199" s="29">
        <v>291</v>
      </c>
      <c r="B199" s="29" t="s">
        <v>95</v>
      </c>
      <c r="C199" s="29" t="s">
        <v>96</v>
      </c>
      <c r="D199" s="29" t="s">
        <v>35</v>
      </c>
      <c r="E199" s="29" t="s">
        <v>36</v>
      </c>
      <c r="F199" s="29" t="s">
        <v>37</v>
      </c>
      <c r="G199" s="41">
        <v>3</v>
      </c>
      <c r="H199" s="40" t="s">
        <v>22</v>
      </c>
      <c r="I199" s="40" t="s">
        <v>22</v>
      </c>
      <c r="J199" s="29" t="s">
        <v>45</v>
      </c>
      <c r="K199" s="28">
        <v>135.34399999999999</v>
      </c>
      <c r="L199" s="38">
        <v>7.7270000000000003</v>
      </c>
      <c r="M199" s="28" t="s">
        <v>137</v>
      </c>
      <c r="N199" s="38">
        <v>6.3739999999999997</v>
      </c>
      <c r="O199" s="28" t="s">
        <v>137</v>
      </c>
      <c r="P199" s="38">
        <v>2.59</v>
      </c>
      <c r="Q199" s="38">
        <v>2.71</v>
      </c>
      <c r="R199" s="28">
        <v>144.49299999999999</v>
      </c>
      <c r="S199" s="38">
        <v>11.226000000000001</v>
      </c>
      <c r="T199" s="29">
        <f>COUNT(L197:L208)</f>
        <v>12</v>
      </c>
      <c r="V199" s="42"/>
      <c r="W199" s="42"/>
      <c r="X199" s="42"/>
      <c r="Y199" s="42"/>
      <c r="Z199" s="42"/>
      <c r="AA199" s="42"/>
      <c r="AB199" s="42"/>
      <c r="AC199" s="49"/>
      <c r="AD199" s="50"/>
      <c r="AE199" s="49"/>
      <c r="AF199" s="50"/>
      <c r="AG199" s="49"/>
      <c r="AH199" s="49"/>
      <c r="AI199" s="49"/>
      <c r="AJ199" s="49"/>
      <c r="AK199" s="50"/>
      <c r="AL199" s="42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</row>
    <row r="200" spans="1:53" x14ac:dyDescent="0.2">
      <c r="A200" s="29">
        <v>292</v>
      </c>
      <c r="B200" s="29" t="s">
        <v>95</v>
      </c>
      <c r="C200" s="29" t="s">
        <v>96</v>
      </c>
      <c r="D200" s="29" t="s">
        <v>35</v>
      </c>
      <c r="E200" s="29" t="s">
        <v>36</v>
      </c>
      <c r="F200" s="29" t="s">
        <v>37</v>
      </c>
      <c r="G200" s="36">
        <v>1</v>
      </c>
      <c r="H200" s="40" t="s">
        <v>22</v>
      </c>
      <c r="I200" s="40" t="s">
        <v>22</v>
      </c>
      <c r="J200" s="29" t="s">
        <v>59</v>
      </c>
      <c r="K200" s="28">
        <v>135.386</v>
      </c>
      <c r="L200" s="38">
        <v>8.1419999999999995</v>
      </c>
      <c r="M200" s="28" t="s">
        <v>137</v>
      </c>
      <c r="N200" s="38">
        <v>6.2690000000000001</v>
      </c>
      <c r="O200" s="28" t="s">
        <v>137</v>
      </c>
      <c r="P200" s="38">
        <v>2.496</v>
      </c>
      <c r="Q200" s="38">
        <v>3.028</v>
      </c>
      <c r="R200" s="28">
        <v>144.40199999999999</v>
      </c>
      <c r="S200" s="38">
        <v>11.948</v>
      </c>
      <c r="T200" s="29">
        <f>COUNT(M197:M208)</f>
        <v>0</v>
      </c>
      <c r="V200" s="42"/>
      <c r="W200" s="42"/>
      <c r="X200" s="42"/>
      <c r="Y200" s="42"/>
      <c r="Z200" s="42"/>
      <c r="AA200" s="42"/>
      <c r="AB200" s="42"/>
      <c r="AC200" s="49"/>
      <c r="AD200" s="50"/>
      <c r="AE200" s="49"/>
      <c r="AF200" s="50"/>
      <c r="AG200" s="49"/>
      <c r="AH200" s="49"/>
      <c r="AI200" s="49"/>
      <c r="AJ200" s="49"/>
      <c r="AK200" s="50"/>
      <c r="AL200" s="42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</row>
    <row r="201" spans="1:53" x14ac:dyDescent="0.2">
      <c r="A201" s="29">
        <v>293</v>
      </c>
      <c r="B201" s="29" t="s">
        <v>95</v>
      </c>
      <c r="C201" s="29" t="s">
        <v>96</v>
      </c>
      <c r="D201" s="29" t="s">
        <v>35</v>
      </c>
      <c r="E201" s="29" t="s">
        <v>36</v>
      </c>
      <c r="F201" s="29" t="s">
        <v>37</v>
      </c>
      <c r="G201" s="39">
        <v>2</v>
      </c>
      <c r="H201" s="40" t="s">
        <v>22</v>
      </c>
      <c r="I201" s="40" t="s">
        <v>22</v>
      </c>
      <c r="J201" s="29" t="s">
        <v>25</v>
      </c>
      <c r="K201" s="28">
        <v>135.79300000000001</v>
      </c>
      <c r="L201" s="38">
        <v>7.97</v>
      </c>
      <c r="M201" s="28" t="s">
        <v>137</v>
      </c>
      <c r="N201" s="38">
        <v>6.3470000000000004</v>
      </c>
      <c r="O201" s="28" t="s">
        <v>137</v>
      </c>
      <c r="P201" s="38">
        <v>2.734</v>
      </c>
      <c r="Q201" s="38">
        <v>2.8690000000000002</v>
      </c>
      <c r="R201" s="28">
        <v>142.51599999999999</v>
      </c>
      <c r="S201" s="38">
        <v>11.29</v>
      </c>
      <c r="T201" s="29">
        <f>COUNT(N197:N208)</f>
        <v>12</v>
      </c>
      <c r="V201" s="42"/>
      <c r="W201" s="42"/>
      <c r="X201" s="42"/>
      <c r="Y201" s="42"/>
      <c r="Z201" s="42"/>
      <c r="AA201" s="42"/>
      <c r="AB201" s="42"/>
      <c r="AC201" s="49"/>
      <c r="AD201" s="50"/>
      <c r="AE201" s="49"/>
      <c r="AF201" s="50"/>
      <c r="AG201" s="49"/>
      <c r="AH201" s="49"/>
      <c r="AI201" s="49"/>
      <c r="AJ201" s="49"/>
      <c r="AK201" s="50"/>
      <c r="AL201" s="42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</row>
    <row r="202" spans="1:53" x14ac:dyDescent="0.2">
      <c r="A202" s="29">
        <v>294</v>
      </c>
      <c r="B202" s="29" t="s">
        <v>95</v>
      </c>
      <c r="C202" s="29" t="s">
        <v>96</v>
      </c>
      <c r="D202" s="29" t="s">
        <v>35</v>
      </c>
      <c r="E202" s="29" t="s">
        <v>36</v>
      </c>
      <c r="F202" s="29" t="s">
        <v>37</v>
      </c>
      <c r="G202" s="41">
        <v>3</v>
      </c>
      <c r="H202" s="40" t="s">
        <v>22</v>
      </c>
      <c r="I202" s="40" t="s">
        <v>22</v>
      </c>
      <c r="J202" s="29" t="s">
        <v>27</v>
      </c>
      <c r="K202" s="28">
        <v>135.41499999999999</v>
      </c>
      <c r="L202" s="38">
        <v>7.6760000000000002</v>
      </c>
      <c r="M202" s="28" t="s">
        <v>137</v>
      </c>
      <c r="N202" s="38">
        <v>6.5060000000000002</v>
      </c>
      <c r="O202" s="28" t="s">
        <v>137</v>
      </c>
      <c r="P202" s="38">
        <v>2.5030000000000001</v>
      </c>
      <c r="Q202" s="38">
        <v>3.0950000000000002</v>
      </c>
      <c r="R202" s="28">
        <v>144.18700000000001</v>
      </c>
      <c r="S202" s="38">
        <v>11.319000000000001</v>
      </c>
      <c r="T202" s="29">
        <f>COUNT(O197:O208)</f>
        <v>0</v>
      </c>
      <c r="V202" s="42"/>
      <c r="W202" s="42"/>
      <c r="X202" s="42"/>
      <c r="Y202" s="42"/>
      <c r="Z202" s="42"/>
      <c r="AA202" s="42"/>
      <c r="AB202" s="42"/>
      <c r="AC202" s="49"/>
      <c r="AD202" s="50"/>
      <c r="AE202" s="49"/>
      <c r="AF202" s="50"/>
      <c r="AG202" s="49"/>
      <c r="AH202" s="49"/>
      <c r="AI202" s="49"/>
      <c r="AJ202" s="49"/>
      <c r="AK202" s="50"/>
      <c r="AL202" s="42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</row>
    <row r="203" spans="1:53" x14ac:dyDescent="0.2">
      <c r="A203" s="29">
        <v>295</v>
      </c>
      <c r="B203" s="29" t="s">
        <v>95</v>
      </c>
      <c r="C203" s="29" t="s">
        <v>96</v>
      </c>
      <c r="D203" s="29" t="s">
        <v>35</v>
      </c>
      <c r="E203" s="29" t="s">
        <v>36</v>
      </c>
      <c r="F203" s="29" t="s">
        <v>37</v>
      </c>
      <c r="G203" s="36">
        <v>1</v>
      </c>
      <c r="H203" s="40" t="s">
        <v>22</v>
      </c>
      <c r="I203" s="40" t="s">
        <v>22</v>
      </c>
      <c r="J203" s="29" t="s">
        <v>38</v>
      </c>
      <c r="K203" s="28">
        <v>138.84</v>
      </c>
      <c r="L203" s="38">
        <v>8.1419999999999995</v>
      </c>
      <c r="M203" s="28" t="s">
        <v>137</v>
      </c>
      <c r="N203" s="38">
        <v>6.2009999999999996</v>
      </c>
      <c r="O203" s="28" t="s">
        <v>137</v>
      </c>
      <c r="P203" s="38">
        <v>2.6619999999999999</v>
      </c>
      <c r="Q203" s="38">
        <v>3.008</v>
      </c>
      <c r="R203" s="28">
        <v>144.66999999999999</v>
      </c>
      <c r="S203" s="38">
        <v>11.837</v>
      </c>
      <c r="T203" s="29">
        <f>COUNT(P197:P208)</f>
        <v>12</v>
      </c>
      <c r="V203" s="42"/>
      <c r="W203" s="42"/>
      <c r="X203" s="42"/>
      <c r="Y203" s="42"/>
      <c r="Z203" s="42"/>
      <c r="AA203" s="42"/>
      <c r="AB203" s="42"/>
      <c r="AC203" s="49"/>
      <c r="AD203" s="50"/>
      <c r="AE203" s="49"/>
      <c r="AF203" s="50"/>
      <c r="AG203" s="49"/>
      <c r="AH203" s="49"/>
      <c r="AI203" s="49"/>
      <c r="AJ203" s="49"/>
      <c r="AK203" s="50"/>
      <c r="AL203" s="42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</row>
    <row r="204" spans="1:53" x14ac:dyDescent="0.2">
      <c r="A204" s="29">
        <v>296</v>
      </c>
      <c r="B204" s="29" t="s">
        <v>95</v>
      </c>
      <c r="C204" s="29" t="s">
        <v>96</v>
      </c>
      <c r="D204" s="29" t="s">
        <v>35</v>
      </c>
      <c r="E204" s="29" t="s">
        <v>36</v>
      </c>
      <c r="F204" s="29" t="s">
        <v>37</v>
      </c>
      <c r="G204" s="39">
        <v>2</v>
      </c>
      <c r="H204" s="40" t="s">
        <v>22</v>
      </c>
      <c r="I204" s="40" t="s">
        <v>22</v>
      </c>
      <c r="J204" s="29" t="s">
        <v>39</v>
      </c>
      <c r="K204" s="28">
        <v>136.03800000000001</v>
      </c>
      <c r="L204" s="38">
        <v>7.9829999999999997</v>
      </c>
      <c r="M204" s="28" t="s">
        <v>137</v>
      </c>
      <c r="N204" s="38">
        <v>6.1310000000000002</v>
      </c>
      <c r="O204" s="28" t="s">
        <v>137</v>
      </c>
      <c r="P204" s="38">
        <v>2.7509999999999999</v>
      </c>
      <c r="Q204" s="38">
        <v>2.7509999999999999</v>
      </c>
      <c r="R204" s="28">
        <v>143.25700000000001</v>
      </c>
      <c r="S204" s="38">
        <v>11.49</v>
      </c>
      <c r="T204" s="29">
        <f>COUNT(Q197:Q208)</f>
        <v>12</v>
      </c>
      <c r="V204" s="42"/>
      <c r="W204" s="42"/>
      <c r="X204" s="42"/>
      <c r="Y204" s="42"/>
      <c r="Z204" s="42"/>
      <c r="AA204" s="42"/>
      <c r="AB204" s="42"/>
      <c r="AC204" s="49"/>
      <c r="AD204" s="50"/>
      <c r="AE204" s="49"/>
      <c r="AF204" s="50"/>
      <c r="AG204" s="49"/>
      <c r="AH204" s="49"/>
      <c r="AI204" s="49"/>
      <c r="AJ204" s="49"/>
      <c r="AK204" s="50"/>
      <c r="AL204" s="42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</row>
    <row r="205" spans="1:53" x14ac:dyDescent="0.2">
      <c r="A205" s="29">
        <v>297</v>
      </c>
      <c r="B205" s="29" t="s">
        <v>95</v>
      </c>
      <c r="C205" s="29" t="s">
        <v>96</v>
      </c>
      <c r="D205" s="29" t="s">
        <v>35</v>
      </c>
      <c r="E205" s="29" t="s">
        <v>36</v>
      </c>
      <c r="F205" s="29" t="s">
        <v>37</v>
      </c>
      <c r="G205" s="41">
        <v>3</v>
      </c>
      <c r="H205" s="40" t="s">
        <v>22</v>
      </c>
      <c r="I205" s="40" t="s">
        <v>22</v>
      </c>
      <c r="J205" s="29" t="s">
        <v>40</v>
      </c>
      <c r="K205" s="28">
        <v>135.34299999999999</v>
      </c>
      <c r="L205" s="38">
        <v>7.7850000000000001</v>
      </c>
      <c r="M205" s="28" t="s">
        <v>137</v>
      </c>
      <c r="N205" s="38">
        <v>6.37</v>
      </c>
      <c r="O205" s="28" t="s">
        <v>137</v>
      </c>
      <c r="P205" s="38">
        <v>2.4990000000000001</v>
      </c>
      <c r="Q205" s="38">
        <v>2.609</v>
      </c>
      <c r="R205" s="28">
        <v>142.411</v>
      </c>
      <c r="S205" s="38">
        <v>11.249000000000001</v>
      </c>
      <c r="T205" s="29">
        <f>COUNT(R197:R208)</f>
        <v>12</v>
      </c>
      <c r="V205" s="42"/>
      <c r="W205" s="42"/>
      <c r="X205" s="42"/>
      <c r="Y205" s="42"/>
      <c r="Z205" s="42"/>
      <c r="AA205" s="42"/>
      <c r="AB205" s="42"/>
      <c r="AC205" s="49"/>
      <c r="AD205" s="50"/>
      <c r="AE205" s="49"/>
      <c r="AF205" s="50"/>
      <c r="AG205" s="49"/>
      <c r="AH205" s="49"/>
      <c r="AI205" s="49"/>
      <c r="AJ205" s="49"/>
      <c r="AK205" s="50"/>
      <c r="AL205" s="42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</row>
    <row r="206" spans="1:53" x14ac:dyDescent="0.2">
      <c r="A206" s="29">
        <v>298</v>
      </c>
      <c r="B206" s="29" t="s">
        <v>95</v>
      </c>
      <c r="C206" s="29" t="s">
        <v>96</v>
      </c>
      <c r="D206" s="29" t="s">
        <v>35</v>
      </c>
      <c r="E206" s="29" t="s">
        <v>36</v>
      </c>
      <c r="F206" s="29" t="s">
        <v>37</v>
      </c>
      <c r="G206" s="36">
        <v>1</v>
      </c>
      <c r="H206" s="40" t="s">
        <v>22</v>
      </c>
      <c r="I206" s="40" t="s">
        <v>22</v>
      </c>
      <c r="J206" s="29" t="s">
        <v>90</v>
      </c>
      <c r="K206" s="28">
        <v>135.56399999999999</v>
      </c>
      <c r="L206" s="38">
        <v>8.1240000000000006</v>
      </c>
      <c r="M206" s="28" t="s">
        <v>137</v>
      </c>
      <c r="N206" s="38">
        <v>6.1269999999999998</v>
      </c>
      <c r="O206" s="28" t="s">
        <v>137</v>
      </c>
      <c r="P206" s="38">
        <v>2.8730000000000002</v>
      </c>
      <c r="Q206" s="38">
        <v>3.0019999999999998</v>
      </c>
      <c r="R206" s="28">
        <v>144.649</v>
      </c>
      <c r="S206" s="38">
        <v>11.342000000000001</v>
      </c>
      <c r="T206" s="29">
        <f>COUNT(S197:S208)</f>
        <v>12</v>
      </c>
      <c r="V206" s="42"/>
      <c r="W206" s="42"/>
      <c r="X206" s="42"/>
      <c r="Y206" s="42"/>
      <c r="Z206" s="42"/>
      <c r="AA206" s="42"/>
      <c r="AB206" s="42"/>
      <c r="AC206" s="49"/>
      <c r="AD206" s="50"/>
      <c r="AE206" s="49"/>
      <c r="AF206" s="50"/>
      <c r="AG206" s="49"/>
      <c r="AH206" s="49"/>
      <c r="AI206" s="49"/>
      <c r="AJ206" s="49"/>
      <c r="AK206" s="50"/>
      <c r="AL206" s="42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</row>
    <row r="207" spans="1:53" x14ac:dyDescent="0.2">
      <c r="A207" s="29">
        <v>299</v>
      </c>
      <c r="B207" s="29" t="s">
        <v>95</v>
      </c>
      <c r="C207" s="29" t="s">
        <v>96</v>
      </c>
      <c r="D207" s="29" t="s">
        <v>35</v>
      </c>
      <c r="E207" s="29" t="s">
        <v>36</v>
      </c>
      <c r="F207" s="29" t="s">
        <v>37</v>
      </c>
      <c r="G207" s="39">
        <v>2</v>
      </c>
      <c r="H207" s="40" t="s">
        <v>22</v>
      </c>
      <c r="I207" s="40" t="s">
        <v>22</v>
      </c>
      <c r="J207" s="29" t="s">
        <v>91</v>
      </c>
      <c r="K207" s="28">
        <v>134.773</v>
      </c>
      <c r="L207" s="38">
        <v>7.8460000000000001</v>
      </c>
      <c r="M207" s="28" t="s">
        <v>137</v>
      </c>
      <c r="N207" s="38">
        <v>6.1260000000000003</v>
      </c>
      <c r="O207" s="28" t="s">
        <v>137</v>
      </c>
      <c r="P207" s="38">
        <v>2.7229999999999999</v>
      </c>
      <c r="Q207" s="38">
        <v>2.8279999999999998</v>
      </c>
      <c r="R207" s="28">
        <v>143.285</v>
      </c>
      <c r="S207" s="38">
        <v>11.308</v>
      </c>
      <c r="T207" s="29">
        <f>T197-SUM(T198:T206)</f>
        <v>0</v>
      </c>
      <c r="V207" s="42"/>
      <c r="W207" s="42"/>
      <c r="X207" s="42"/>
      <c r="Y207" s="42"/>
      <c r="Z207" s="42"/>
      <c r="AA207" s="42"/>
      <c r="AB207" s="42"/>
      <c r="AC207" s="49"/>
      <c r="AD207" s="50"/>
      <c r="AE207" s="49"/>
      <c r="AF207" s="50"/>
      <c r="AG207" s="49"/>
      <c r="AH207" s="49"/>
      <c r="AI207" s="49"/>
      <c r="AJ207" s="49"/>
      <c r="AK207" s="50"/>
      <c r="AL207" s="42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</row>
    <row r="208" spans="1:53" x14ac:dyDescent="0.2">
      <c r="A208" s="29">
        <v>300</v>
      </c>
      <c r="B208" s="29" t="s">
        <v>95</v>
      </c>
      <c r="C208" s="29" t="s">
        <v>96</v>
      </c>
      <c r="D208" s="29" t="s">
        <v>35</v>
      </c>
      <c r="E208" s="29" t="s">
        <v>36</v>
      </c>
      <c r="F208" s="29" t="s">
        <v>37</v>
      </c>
      <c r="G208" s="41">
        <v>3</v>
      </c>
      <c r="H208" s="40" t="s">
        <v>22</v>
      </c>
      <c r="I208" s="40" t="s">
        <v>22</v>
      </c>
      <c r="J208" s="29" t="s">
        <v>92</v>
      </c>
      <c r="K208" s="28">
        <v>134.649</v>
      </c>
      <c r="L208" s="38">
        <v>7.61</v>
      </c>
      <c r="M208" s="28" t="s">
        <v>137</v>
      </c>
      <c r="N208" s="38">
        <v>5.9859999999999998</v>
      </c>
      <c r="O208" s="28" t="s">
        <v>137</v>
      </c>
      <c r="P208" s="38">
        <v>2.38</v>
      </c>
      <c r="Q208" s="38">
        <v>2.6869999999999998</v>
      </c>
      <c r="R208" s="28">
        <v>144.184</v>
      </c>
      <c r="S208" s="38">
        <v>10.977</v>
      </c>
      <c r="T208" s="29">
        <v>9999</v>
      </c>
      <c r="V208" s="42"/>
      <c r="W208" s="42"/>
      <c r="X208" s="42"/>
      <c r="Y208" s="42"/>
      <c r="Z208" s="42"/>
      <c r="AA208" s="42"/>
      <c r="AB208" s="42"/>
      <c r="AC208" s="49"/>
      <c r="AD208" s="50"/>
      <c r="AE208" s="49"/>
      <c r="AF208" s="50"/>
      <c r="AG208" s="49"/>
      <c r="AH208" s="49"/>
      <c r="AI208" s="49"/>
      <c r="AJ208" s="49"/>
      <c r="AK208" s="50"/>
      <c r="AL208" s="42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</row>
    <row r="209" spans="1:53" s="26" customForma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47"/>
      <c r="L209" s="48"/>
      <c r="M209" s="47"/>
      <c r="N209" s="48"/>
      <c r="O209" s="47"/>
      <c r="P209" s="48"/>
      <c r="Q209" s="48"/>
      <c r="R209" s="47"/>
      <c r="S209" s="48"/>
      <c r="T209" s="21"/>
      <c r="U209" s="25"/>
      <c r="V209" s="42"/>
      <c r="W209" s="42"/>
      <c r="X209" s="42"/>
      <c r="Y209" s="42"/>
      <c r="Z209" s="42"/>
      <c r="AA209" s="42"/>
      <c r="AB209" s="42"/>
      <c r="AC209" s="49"/>
      <c r="AD209" s="50"/>
      <c r="AE209" s="49"/>
      <c r="AF209" s="50"/>
      <c r="AG209" s="49"/>
      <c r="AH209" s="50"/>
      <c r="AI209" s="50"/>
      <c r="AJ209" s="49"/>
      <c r="AK209" s="50"/>
      <c r="AL209" s="42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</row>
    <row r="210" spans="1:53" x14ac:dyDescent="0.2">
      <c r="A210" s="29">
        <v>301</v>
      </c>
      <c r="B210" s="29" t="s">
        <v>150</v>
      </c>
      <c r="C210" s="29" t="s">
        <v>134</v>
      </c>
      <c r="D210" s="30" t="s">
        <v>35</v>
      </c>
      <c r="E210" s="30" t="s">
        <v>36</v>
      </c>
      <c r="F210" s="35" t="s">
        <v>136</v>
      </c>
      <c r="G210" s="31">
        <v>1</v>
      </c>
      <c r="H210" s="33" t="s">
        <v>22</v>
      </c>
      <c r="I210" s="33" t="s">
        <v>22</v>
      </c>
      <c r="J210" s="30" t="s">
        <v>23</v>
      </c>
      <c r="K210" s="35" t="s">
        <v>137</v>
      </c>
      <c r="L210" s="38">
        <v>8.0129999999999999</v>
      </c>
      <c r="M210" s="35" t="s">
        <v>137</v>
      </c>
      <c r="N210" s="38">
        <v>6.1289999999999996</v>
      </c>
      <c r="O210" s="35" t="s">
        <v>137</v>
      </c>
      <c r="P210" s="29">
        <v>2.8010000000000002</v>
      </c>
      <c r="Q210" s="29">
        <v>3.0720000000000001</v>
      </c>
      <c r="R210" s="35" t="s">
        <v>137</v>
      </c>
      <c r="S210" s="38">
        <v>11.586</v>
      </c>
      <c r="T210" s="29">
        <f>COUNT(K210:S221)</f>
        <v>60</v>
      </c>
      <c r="V210" s="42"/>
      <c r="W210" s="42"/>
      <c r="X210" s="42"/>
      <c r="Y210" s="42"/>
      <c r="Z210" s="42"/>
      <c r="AA210" s="42"/>
      <c r="AB210" s="42"/>
      <c r="AC210" s="42"/>
      <c r="AD210" s="50"/>
      <c r="AE210" s="42"/>
      <c r="AF210" s="50"/>
      <c r="AG210" s="42"/>
      <c r="AH210" s="50"/>
      <c r="AI210" s="50"/>
      <c r="AJ210" s="42"/>
      <c r="AK210" s="50"/>
      <c r="AL210" s="42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</row>
    <row r="211" spans="1:53" x14ac:dyDescent="0.2">
      <c r="A211" s="29">
        <v>302</v>
      </c>
      <c r="B211" s="29" t="s">
        <v>150</v>
      </c>
      <c r="C211" s="29" t="s">
        <v>134</v>
      </c>
      <c r="D211" s="30" t="s">
        <v>35</v>
      </c>
      <c r="E211" s="30" t="s">
        <v>36</v>
      </c>
      <c r="F211" s="35" t="s">
        <v>136</v>
      </c>
      <c r="G211" s="32">
        <v>2</v>
      </c>
      <c r="H211" s="33" t="s">
        <v>22</v>
      </c>
      <c r="I211" s="33" t="s">
        <v>22</v>
      </c>
      <c r="J211" s="30" t="s">
        <v>24</v>
      </c>
      <c r="K211" s="35" t="s">
        <v>137</v>
      </c>
      <c r="L211" s="38">
        <v>7.5839999999999996</v>
      </c>
      <c r="M211" s="35" t="s">
        <v>137</v>
      </c>
      <c r="N211" s="38">
        <v>6.226</v>
      </c>
      <c r="O211" s="35" t="s">
        <v>137</v>
      </c>
      <c r="P211" s="29">
        <v>2.5449999999999999</v>
      </c>
      <c r="Q211" s="29">
        <v>2.9780000000000002</v>
      </c>
      <c r="R211" s="35" t="s">
        <v>137</v>
      </c>
      <c r="S211" s="38">
        <v>11.445</v>
      </c>
      <c r="T211" s="29">
        <f>COUNT(K210:K221)</f>
        <v>0</v>
      </c>
      <c r="V211" s="42"/>
      <c r="W211" s="42"/>
      <c r="X211" s="42"/>
      <c r="Y211" s="42"/>
      <c r="Z211" s="42"/>
      <c r="AA211" s="42"/>
      <c r="AB211" s="42"/>
      <c r="AC211" s="42"/>
      <c r="AD211" s="50"/>
      <c r="AE211" s="42"/>
      <c r="AF211" s="50"/>
      <c r="AG211" s="42"/>
      <c r="AH211" s="50"/>
      <c r="AI211" s="50"/>
      <c r="AJ211" s="42"/>
      <c r="AK211" s="50"/>
      <c r="AL211" s="42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</row>
    <row r="212" spans="1:53" x14ac:dyDescent="0.2">
      <c r="A212" s="29">
        <v>303</v>
      </c>
      <c r="B212" s="29" t="s">
        <v>150</v>
      </c>
      <c r="C212" s="29" t="s">
        <v>134</v>
      </c>
      <c r="D212" s="30" t="s">
        <v>35</v>
      </c>
      <c r="E212" s="30" t="s">
        <v>36</v>
      </c>
      <c r="F212" s="35" t="s">
        <v>136</v>
      </c>
      <c r="G212" s="34">
        <v>3</v>
      </c>
      <c r="H212" s="33" t="s">
        <v>22</v>
      </c>
      <c r="I212" s="33" t="s">
        <v>22</v>
      </c>
      <c r="J212" s="30" t="s">
        <v>45</v>
      </c>
      <c r="K212" s="35" t="s">
        <v>137</v>
      </c>
      <c r="L212" s="38">
        <v>7.875</v>
      </c>
      <c r="M212" s="35" t="s">
        <v>137</v>
      </c>
      <c r="N212" s="38">
        <v>6.4950000000000001</v>
      </c>
      <c r="O212" s="35" t="s">
        <v>137</v>
      </c>
      <c r="P212" s="29">
        <v>2.7040000000000002</v>
      </c>
      <c r="Q212" s="29">
        <v>2.76</v>
      </c>
      <c r="R212" s="35" t="s">
        <v>137</v>
      </c>
      <c r="S212" s="38">
        <v>11.337</v>
      </c>
      <c r="T212" s="29">
        <f>COUNT(L210:L221)</f>
        <v>12</v>
      </c>
      <c r="V212" s="42"/>
      <c r="W212" s="42"/>
      <c r="X212" s="42"/>
      <c r="Y212" s="42"/>
      <c r="Z212" s="42"/>
      <c r="AA212" s="42"/>
      <c r="AB212" s="42"/>
      <c r="AC212" s="42"/>
      <c r="AD212" s="50"/>
      <c r="AE212" s="42"/>
      <c r="AF212" s="50"/>
      <c r="AG212" s="42"/>
      <c r="AH212" s="50"/>
      <c r="AI212" s="50"/>
      <c r="AJ212" s="42"/>
      <c r="AK212" s="50"/>
      <c r="AL212" s="42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</row>
    <row r="213" spans="1:53" x14ac:dyDescent="0.2">
      <c r="A213" s="29">
        <v>304</v>
      </c>
      <c r="B213" s="29" t="s">
        <v>150</v>
      </c>
      <c r="C213" s="29" t="s">
        <v>134</v>
      </c>
      <c r="D213" s="30" t="s">
        <v>35</v>
      </c>
      <c r="E213" s="30" t="s">
        <v>36</v>
      </c>
      <c r="F213" s="35" t="s">
        <v>136</v>
      </c>
      <c r="G213" s="31">
        <v>1</v>
      </c>
      <c r="H213" s="33" t="s">
        <v>22</v>
      </c>
      <c r="I213" s="33" t="s">
        <v>22</v>
      </c>
      <c r="J213" s="30" t="s">
        <v>59</v>
      </c>
      <c r="K213" s="35" t="s">
        <v>137</v>
      </c>
      <c r="L213" s="38">
        <v>8.1310000000000002</v>
      </c>
      <c r="M213" s="35" t="s">
        <v>137</v>
      </c>
      <c r="N213" s="38">
        <v>6.2220000000000004</v>
      </c>
      <c r="O213" s="35" t="s">
        <v>137</v>
      </c>
      <c r="P213" s="29">
        <v>2.5550000000000002</v>
      </c>
      <c r="Q213" s="29">
        <v>3.09</v>
      </c>
      <c r="R213" s="35" t="s">
        <v>137</v>
      </c>
      <c r="S213" s="38">
        <v>11.923</v>
      </c>
      <c r="T213" s="29">
        <f>COUNT(M210:M221)</f>
        <v>0</v>
      </c>
      <c r="V213" s="42"/>
      <c r="W213" s="42"/>
      <c r="X213" s="42"/>
      <c r="Y213" s="42"/>
      <c r="Z213" s="42"/>
      <c r="AA213" s="42"/>
      <c r="AB213" s="42"/>
      <c r="AC213" s="42"/>
      <c r="AD213" s="50"/>
      <c r="AE213" s="42"/>
      <c r="AF213" s="50"/>
      <c r="AG213" s="42"/>
      <c r="AH213" s="50"/>
      <c r="AI213" s="50"/>
      <c r="AJ213" s="42"/>
      <c r="AK213" s="50"/>
      <c r="AL213" s="42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</row>
    <row r="214" spans="1:53" x14ac:dyDescent="0.2">
      <c r="A214" s="29">
        <v>305</v>
      </c>
      <c r="B214" s="29" t="s">
        <v>150</v>
      </c>
      <c r="C214" s="29" t="s">
        <v>134</v>
      </c>
      <c r="D214" s="30" t="s">
        <v>35</v>
      </c>
      <c r="E214" s="30" t="s">
        <v>36</v>
      </c>
      <c r="F214" s="35" t="s">
        <v>136</v>
      </c>
      <c r="G214" s="32">
        <v>2</v>
      </c>
      <c r="H214" s="33" t="s">
        <v>22</v>
      </c>
      <c r="I214" s="33" t="s">
        <v>22</v>
      </c>
      <c r="J214" s="30" t="s">
        <v>25</v>
      </c>
      <c r="K214" s="35" t="s">
        <v>137</v>
      </c>
      <c r="L214" s="38">
        <v>7.9480000000000004</v>
      </c>
      <c r="M214" s="35" t="s">
        <v>137</v>
      </c>
      <c r="N214" s="38">
        <v>6.2270000000000003</v>
      </c>
      <c r="O214" s="35" t="s">
        <v>137</v>
      </c>
      <c r="P214" s="29">
        <v>2.637</v>
      </c>
      <c r="Q214" s="29">
        <v>3.0070000000000001</v>
      </c>
      <c r="R214" s="35" t="s">
        <v>137</v>
      </c>
      <c r="S214" s="38">
        <v>11.282999999999999</v>
      </c>
      <c r="T214" s="29">
        <f>COUNT(N210:N221)</f>
        <v>12</v>
      </c>
      <c r="V214" s="42"/>
      <c r="W214" s="42"/>
      <c r="X214" s="42"/>
      <c r="Y214" s="42"/>
      <c r="Z214" s="42"/>
      <c r="AA214" s="42"/>
      <c r="AB214" s="42"/>
      <c r="AC214" s="42"/>
      <c r="AD214" s="50"/>
      <c r="AE214" s="42"/>
      <c r="AF214" s="50"/>
      <c r="AG214" s="42"/>
      <c r="AH214" s="50"/>
      <c r="AI214" s="50"/>
      <c r="AJ214" s="42"/>
      <c r="AK214" s="50"/>
      <c r="AL214" s="42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</row>
    <row r="215" spans="1:53" x14ac:dyDescent="0.2">
      <c r="A215" s="29">
        <v>306</v>
      </c>
      <c r="B215" s="29" t="s">
        <v>150</v>
      </c>
      <c r="C215" s="29" t="s">
        <v>134</v>
      </c>
      <c r="D215" s="30" t="s">
        <v>35</v>
      </c>
      <c r="E215" s="30" t="s">
        <v>36</v>
      </c>
      <c r="F215" s="35" t="s">
        <v>136</v>
      </c>
      <c r="G215" s="34">
        <v>3</v>
      </c>
      <c r="H215" s="33" t="s">
        <v>22</v>
      </c>
      <c r="I215" s="33" t="s">
        <v>22</v>
      </c>
      <c r="J215" s="30" t="s">
        <v>26</v>
      </c>
      <c r="K215" s="35" t="s">
        <v>137</v>
      </c>
      <c r="L215" s="38">
        <v>7.8070000000000004</v>
      </c>
      <c r="M215" s="35" t="s">
        <v>137</v>
      </c>
      <c r="N215" s="38">
        <v>6.5430000000000001</v>
      </c>
      <c r="O215" s="35" t="s">
        <v>137</v>
      </c>
      <c r="P215" s="29">
        <v>2.6120000000000001</v>
      </c>
      <c r="Q215" s="29">
        <v>2.7280000000000002</v>
      </c>
      <c r="R215" s="35" t="s">
        <v>137</v>
      </c>
      <c r="S215" s="38">
        <v>11.430999999999999</v>
      </c>
      <c r="T215" s="29">
        <f>COUNT(O210:O221)</f>
        <v>0</v>
      </c>
      <c r="V215" s="42"/>
      <c r="W215" s="42"/>
      <c r="X215" s="42"/>
      <c r="Y215" s="42"/>
      <c r="Z215" s="42"/>
      <c r="AA215" s="42"/>
      <c r="AB215" s="42"/>
      <c r="AC215" s="42"/>
      <c r="AD215" s="50"/>
      <c r="AE215" s="42"/>
      <c r="AF215" s="50"/>
      <c r="AG215" s="42"/>
      <c r="AH215" s="50"/>
      <c r="AI215" s="50"/>
      <c r="AJ215" s="42"/>
      <c r="AK215" s="50"/>
      <c r="AL215" s="42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</row>
    <row r="216" spans="1:53" x14ac:dyDescent="0.2">
      <c r="A216" s="29">
        <v>307</v>
      </c>
      <c r="B216" s="29" t="s">
        <v>150</v>
      </c>
      <c r="C216" s="29" t="s">
        <v>134</v>
      </c>
      <c r="D216" s="30" t="s">
        <v>35</v>
      </c>
      <c r="E216" s="30" t="s">
        <v>36</v>
      </c>
      <c r="F216" s="35" t="s">
        <v>136</v>
      </c>
      <c r="G216" s="31">
        <v>1</v>
      </c>
      <c r="H216" s="33" t="s">
        <v>22</v>
      </c>
      <c r="I216" s="33" t="s">
        <v>22</v>
      </c>
      <c r="J216" s="30" t="s">
        <v>50</v>
      </c>
      <c r="K216" s="35" t="s">
        <v>137</v>
      </c>
      <c r="L216" s="38">
        <v>8.1720000000000006</v>
      </c>
      <c r="M216" s="35" t="s">
        <v>137</v>
      </c>
      <c r="N216" s="38">
        <v>6.2859999999999996</v>
      </c>
      <c r="O216" s="35" t="s">
        <v>137</v>
      </c>
      <c r="P216" s="29">
        <v>2.7210000000000001</v>
      </c>
      <c r="Q216" s="29">
        <v>2.9529999999999998</v>
      </c>
      <c r="R216" s="35" t="s">
        <v>137</v>
      </c>
      <c r="S216" s="38">
        <v>11.638</v>
      </c>
      <c r="T216" s="29">
        <f>COUNT(P210:P221)</f>
        <v>12</v>
      </c>
      <c r="V216" s="42"/>
      <c r="W216" s="42"/>
      <c r="X216" s="42"/>
      <c r="Y216" s="42"/>
      <c r="Z216" s="42"/>
      <c r="AA216" s="42"/>
      <c r="AB216" s="42"/>
      <c r="AC216" s="42"/>
      <c r="AD216" s="50"/>
      <c r="AE216" s="42"/>
      <c r="AF216" s="50"/>
      <c r="AG216" s="49"/>
      <c r="AH216" s="50"/>
      <c r="AI216" s="50"/>
      <c r="AJ216" s="42"/>
      <c r="AK216" s="50"/>
      <c r="AL216" s="42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</row>
    <row r="217" spans="1:53" x14ac:dyDescent="0.2">
      <c r="A217" s="29">
        <v>308</v>
      </c>
      <c r="B217" s="29" t="s">
        <v>150</v>
      </c>
      <c r="C217" s="29" t="s">
        <v>134</v>
      </c>
      <c r="D217" s="30" t="s">
        <v>35</v>
      </c>
      <c r="E217" s="30" t="s">
        <v>36</v>
      </c>
      <c r="F217" s="35" t="s">
        <v>136</v>
      </c>
      <c r="G217" s="31">
        <v>1</v>
      </c>
      <c r="H217" s="33" t="s">
        <v>22</v>
      </c>
      <c r="I217" s="33" t="s">
        <v>22</v>
      </c>
      <c r="J217" s="30" t="s">
        <v>40</v>
      </c>
      <c r="K217" s="35" t="s">
        <v>137</v>
      </c>
      <c r="L217" s="38">
        <v>8.0090000000000003</v>
      </c>
      <c r="M217" s="35" t="s">
        <v>137</v>
      </c>
      <c r="N217" s="38">
        <v>5.99</v>
      </c>
      <c r="O217" s="35" t="s">
        <v>137</v>
      </c>
      <c r="P217" s="29">
        <v>2.6669999999999998</v>
      </c>
      <c r="Q217" s="29">
        <v>2.847</v>
      </c>
      <c r="R217" s="35" t="s">
        <v>137</v>
      </c>
      <c r="S217" s="38">
        <v>11.194000000000001</v>
      </c>
      <c r="T217" s="29">
        <f>COUNT(Q210:Q221)</f>
        <v>12</v>
      </c>
      <c r="V217" s="42"/>
      <c r="W217" s="42"/>
      <c r="X217" s="42"/>
      <c r="Y217" s="42"/>
      <c r="Z217" s="42"/>
      <c r="AA217" s="42"/>
      <c r="AB217" s="42"/>
      <c r="AC217" s="42"/>
      <c r="AD217" s="50"/>
      <c r="AE217" s="42"/>
      <c r="AF217" s="50"/>
      <c r="AG217" s="42"/>
      <c r="AH217" s="50"/>
      <c r="AI217" s="50"/>
      <c r="AJ217" s="42"/>
      <c r="AK217" s="50"/>
      <c r="AL217" s="42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</row>
    <row r="218" spans="1:53" x14ac:dyDescent="0.2">
      <c r="A218" s="29">
        <v>309</v>
      </c>
      <c r="B218" s="29" t="s">
        <v>150</v>
      </c>
      <c r="C218" s="29" t="s">
        <v>134</v>
      </c>
      <c r="D218" s="30" t="s">
        <v>35</v>
      </c>
      <c r="E218" s="30" t="s">
        <v>36</v>
      </c>
      <c r="F218" s="35" t="s">
        <v>136</v>
      </c>
      <c r="G218" s="32">
        <v>2</v>
      </c>
      <c r="H218" s="33" t="s">
        <v>22</v>
      </c>
      <c r="I218" s="33" t="s">
        <v>22</v>
      </c>
      <c r="J218" s="30" t="s">
        <v>47</v>
      </c>
      <c r="K218" s="35" t="s">
        <v>137</v>
      </c>
      <c r="L218" s="38">
        <v>7.6630000000000003</v>
      </c>
      <c r="M218" s="35" t="s">
        <v>137</v>
      </c>
      <c r="N218" s="38">
        <v>5.8929999999999998</v>
      </c>
      <c r="O218" s="35" t="s">
        <v>137</v>
      </c>
      <c r="P218" s="29">
        <v>2.5219999999999998</v>
      </c>
      <c r="Q218" s="29">
        <v>2.585</v>
      </c>
      <c r="R218" s="35" t="s">
        <v>137</v>
      </c>
      <c r="S218" s="38">
        <v>11.337</v>
      </c>
      <c r="T218" s="29">
        <f>COUNT(R210:R221)</f>
        <v>0</v>
      </c>
      <c r="V218" s="42"/>
      <c r="W218" s="42"/>
      <c r="X218" s="42"/>
      <c r="Y218" s="42"/>
      <c r="Z218" s="42"/>
      <c r="AA218" s="42"/>
      <c r="AB218" s="42"/>
      <c r="AC218" s="42"/>
      <c r="AD218" s="50"/>
      <c r="AE218" s="42"/>
      <c r="AF218" s="50"/>
      <c r="AG218" s="42"/>
      <c r="AH218" s="50"/>
      <c r="AI218" s="50"/>
      <c r="AJ218" s="42"/>
      <c r="AK218" s="50"/>
      <c r="AL218" s="42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</row>
    <row r="219" spans="1:53" x14ac:dyDescent="0.2">
      <c r="A219" s="29">
        <v>310</v>
      </c>
      <c r="B219" s="29" t="s">
        <v>150</v>
      </c>
      <c r="C219" s="29" t="s">
        <v>134</v>
      </c>
      <c r="D219" s="30" t="s">
        <v>35</v>
      </c>
      <c r="E219" s="30" t="s">
        <v>36</v>
      </c>
      <c r="F219" s="35" t="s">
        <v>136</v>
      </c>
      <c r="G219" s="34">
        <v>3</v>
      </c>
      <c r="H219" s="33" t="s">
        <v>22</v>
      </c>
      <c r="I219" s="33" t="s">
        <v>22</v>
      </c>
      <c r="J219" s="30" t="s">
        <v>51</v>
      </c>
      <c r="K219" s="35" t="s">
        <v>137</v>
      </c>
      <c r="L219" s="38">
        <v>7.3410000000000002</v>
      </c>
      <c r="M219" s="35" t="s">
        <v>137</v>
      </c>
      <c r="N219" s="38">
        <v>6.1619999999999999</v>
      </c>
      <c r="O219" s="35" t="s">
        <v>137</v>
      </c>
      <c r="P219" s="29">
        <v>2.3090000000000002</v>
      </c>
      <c r="Q219" s="29">
        <v>2.9750000000000001</v>
      </c>
      <c r="R219" s="35" t="s">
        <v>137</v>
      </c>
      <c r="S219" s="38">
        <v>11.041</v>
      </c>
      <c r="T219" s="29">
        <f>COUNT(S210:S221)</f>
        <v>12</v>
      </c>
      <c r="V219" s="42"/>
      <c r="W219" s="42"/>
      <c r="X219" s="42"/>
      <c r="Y219" s="42"/>
      <c r="Z219" s="42"/>
      <c r="AA219" s="42"/>
      <c r="AB219" s="42"/>
      <c r="AC219" s="42"/>
      <c r="AD219" s="50"/>
      <c r="AE219" s="42"/>
      <c r="AF219" s="50"/>
      <c r="AG219" s="49"/>
      <c r="AH219" s="50"/>
      <c r="AI219" s="50"/>
      <c r="AJ219" s="42"/>
      <c r="AK219" s="50"/>
      <c r="AL219" s="42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</row>
    <row r="220" spans="1:53" x14ac:dyDescent="0.2">
      <c r="A220" s="29">
        <v>311</v>
      </c>
      <c r="B220" s="29" t="s">
        <v>150</v>
      </c>
      <c r="C220" s="29" t="s">
        <v>134</v>
      </c>
      <c r="D220" s="30" t="s">
        <v>35</v>
      </c>
      <c r="E220" s="30" t="s">
        <v>36</v>
      </c>
      <c r="F220" s="35" t="s">
        <v>136</v>
      </c>
      <c r="G220" s="32">
        <v>2</v>
      </c>
      <c r="H220" s="33" t="s">
        <v>22</v>
      </c>
      <c r="I220" s="33" t="s">
        <v>22</v>
      </c>
      <c r="J220" s="30" t="s">
        <v>152</v>
      </c>
      <c r="K220" s="35" t="s">
        <v>137</v>
      </c>
      <c r="L220" s="38">
        <v>7.6970000000000001</v>
      </c>
      <c r="M220" s="35" t="s">
        <v>137</v>
      </c>
      <c r="N220" s="38">
        <v>5.8890000000000002</v>
      </c>
      <c r="O220" s="35" t="s">
        <v>137</v>
      </c>
      <c r="P220" s="29">
        <v>2.6669999999999998</v>
      </c>
      <c r="Q220" s="29">
        <v>2.6669999999999998</v>
      </c>
      <c r="R220" s="35" t="s">
        <v>137</v>
      </c>
      <c r="S220" s="38">
        <v>11.256</v>
      </c>
      <c r="T220" s="29">
        <f>T210-SUM(T211:T219)</f>
        <v>0</v>
      </c>
      <c r="V220" s="42"/>
      <c r="W220" s="42"/>
      <c r="X220" s="42"/>
      <c r="Y220" s="42"/>
      <c r="Z220" s="42"/>
      <c r="AA220" s="42"/>
      <c r="AB220" s="42"/>
      <c r="AC220" s="42"/>
      <c r="AD220" s="50"/>
      <c r="AE220" s="42"/>
      <c r="AF220" s="50"/>
      <c r="AG220" s="42"/>
      <c r="AH220" s="50"/>
      <c r="AI220" s="50"/>
      <c r="AJ220" s="42"/>
      <c r="AK220" s="50"/>
      <c r="AL220" s="42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</row>
    <row r="221" spans="1:53" x14ac:dyDescent="0.2">
      <c r="A221" s="29">
        <v>312</v>
      </c>
      <c r="B221" s="29" t="s">
        <v>150</v>
      </c>
      <c r="C221" s="29" t="s">
        <v>134</v>
      </c>
      <c r="D221" s="30" t="s">
        <v>35</v>
      </c>
      <c r="E221" s="30" t="s">
        <v>36</v>
      </c>
      <c r="F221" s="35" t="s">
        <v>136</v>
      </c>
      <c r="G221" s="34">
        <v>3</v>
      </c>
      <c r="H221" s="33" t="s">
        <v>22</v>
      </c>
      <c r="I221" s="33" t="s">
        <v>22</v>
      </c>
      <c r="J221" s="30" t="s">
        <v>153</v>
      </c>
      <c r="K221" s="35" t="s">
        <v>137</v>
      </c>
      <c r="L221" s="38">
        <v>6.5990000000000002</v>
      </c>
      <c r="M221" s="35" t="s">
        <v>137</v>
      </c>
      <c r="N221" s="38">
        <v>6.1219999999999999</v>
      </c>
      <c r="O221" s="35" t="s">
        <v>137</v>
      </c>
      <c r="P221" s="29">
        <v>2.2599999999999998</v>
      </c>
      <c r="Q221" s="29">
        <v>2.4820000000000002</v>
      </c>
      <c r="R221" s="35" t="s">
        <v>137</v>
      </c>
      <c r="S221" s="38">
        <v>10.951000000000001</v>
      </c>
      <c r="T221" s="29">
        <v>9999</v>
      </c>
      <c r="V221" s="42"/>
      <c r="W221" s="42"/>
      <c r="X221" s="42"/>
      <c r="Y221" s="42"/>
      <c r="Z221" s="42"/>
      <c r="AA221" s="42"/>
      <c r="AB221" s="42"/>
      <c r="AC221" s="42"/>
      <c r="AD221" s="50"/>
      <c r="AE221" s="42"/>
      <c r="AF221" s="50"/>
      <c r="AG221" s="42"/>
      <c r="AH221" s="50"/>
      <c r="AI221" s="50"/>
      <c r="AJ221" s="42"/>
      <c r="AK221" s="50"/>
      <c r="AL221" s="42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</row>
    <row r="222" spans="1:53" s="26" customFormat="1" x14ac:dyDescent="0.2">
      <c r="A222" s="21"/>
      <c r="U222" s="25"/>
      <c r="V222" s="42"/>
      <c r="W222" s="42"/>
      <c r="X222" s="42"/>
      <c r="Y222" s="42"/>
      <c r="Z222" s="42"/>
      <c r="AA222" s="42"/>
      <c r="AB222" s="42"/>
      <c r="AC222" s="42"/>
      <c r="AD222" s="50"/>
      <c r="AE222" s="42"/>
      <c r="AF222" s="50"/>
      <c r="AG222" s="42"/>
      <c r="AH222" s="50"/>
      <c r="AI222" s="50"/>
      <c r="AJ222" s="42"/>
      <c r="AK222" s="50"/>
      <c r="AL222" s="42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</row>
    <row r="223" spans="1:53" s="56" customFormat="1" x14ac:dyDescent="0.2">
      <c r="A223" s="2">
        <v>10013</v>
      </c>
      <c r="B223" s="3" t="s">
        <v>109</v>
      </c>
      <c r="C223" s="3" t="s">
        <v>110</v>
      </c>
      <c r="D223" s="3" t="s">
        <v>35</v>
      </c>
      <c r="E223" s="3" t="s">
        <v>36</v>
      </c>
      <c r="F223" s="3" t="s">
        <v>37</v>
      </c>
      <c r="G223" s="5">
        <v>1</v>
      </c>
      <c r="H223" s="6" t="s">
        <v>22</v>
      </c>
      <c r="I223" s="6" t="s">
        <v>22</v>
      </c>
      <c r="J223" s="3" t="s">
        <v>97</v>
      </c>
      <c r="K223" s="4">
        <v>137.80000000000001</v>
      </c>
      <c r="L223" s="7">
        <v>8.07</v>
      </c>
      <c r="M223" s="4">
        <v>84.48</v>
      </c>
      <c r="N223" s="7">
        <v>6.1079999999999997</v>
      </c>
      <c r="O223" s="4">
        <v>39.71</v>
      </c>
      <c r="P223" s="7">
        <v>2.8180000000000001</v>
      </c>
      <c r="Q223" s="7">
        <v>3.024</v>
      </c>
      <c r="R223" s="4">
        <v>144.1</v>
      </c>
      <c r="S223" s="7">
        <v>11.88</v>
      </c>
      <c r="T223" s="2">
        <v>108</v>
      </c>
    </row>
    <row r="224" spans="1:53" s="56" customFormat="1" x14ac:dyDescent="0.2">
      <c r="A224" s="2">
        <v>10014</v>
      </c>
      <c r="B224" s="3" t="s">
        <v>109</v>
      </c>
      <c r="C224" s="3" t="s">
        <v>110</v>
      </c>
      <c r="D224" s="3" t="s">
        <v>35</v>
      </c>
      <c r="E224" s="3" t="s">
        <v>36</v>
      </c>
      <c r="F224" s="3" t="s">
        <v>37</v>
      </c>
      <c r="G224" s="8">
        <v>2</v>
      </c>
      <c r="H224" s="6" t="s">
        <v>22</v>
      </c>
      <c r="I224" s="6" t="s">
        <v>22</v>
      </c>
      <c r="J224" s="3" t="s">
        <v>98</v>
      </c>
      <c r="K224" s="4">
        <v>137.19999999999999</v>
      </c>
      <c r="L224" s="7">
        <v>7.6619999999999999</v>
      </c>
      <c r="M224" s="4">
        <v>84.43</v>
      </c>
      <c r="N224" s="7">
        <v>6.1950000000000003</v>
      </c>
      <c r="O224" s="4">
        <v>42.59</v>
      </c>
      <c r="P224" s="7">
        <v>2.601</v>
      </c>
      <c r="Q224" s="7">
        <v>2.9319999999999999</v>
      </c>
      <c r="R224" s="4">
        <v>142.80000000000001</v>
      </c>
      <c r="S224" s="7">
        <v>11.38</v>
      </c>
      <c r="T224" s="2">
        <v>12</v>
      </c>
    </row>
    <row r="225" spans="1:20" s="56" customFormat="1" x14ac:dyDescent="0.2">
      <c r="A225" s="2">
        <v>10015</v>
      </c>
      <c r="B225" s="3" t="s">
        <v>109</v>
      </c>
      <c r="C225" s="3" t="s">
        <v>110</v>
      </c>
      <c r="D225" s="3" t="s">
        <v>35</v>
      </c>
      <c r="E225" s="3" t="s">
        <v>36</v>
      </c>
      <c r="F225" s="3" t="s">
        <v>37</v>
      </c>
      <c r="G225" s="9">
        <v>3</v>
      </c>
      <c r="H225" s="6" t="s">
        <v>22</v>
      </c>
      <c r="I225" s="6" t="s">
        <v>22</v>
      </c>
      <c r="J225" s="3" t="s">
        <v>99</v>
      </c>
      <c r="K225" s="4">
        <v>137.9</v>
      </c>
      <c r="L225" s="7">
        <v>7.7720000000000002</v>
      </c>
      <c r="M225" s="4">
        <v>85.25</v>
      </c>
      <c r="N225" s="7">
        <v>6.4729999999999999</v>
      </c>
      <c r="O225" s="4">
        <v>41.52</v>
      </c>
      <c r="P225" s="7">
        <v>2.625</v>
      </c>
      <c r="Q225" s="7">
        <v>2.7509999999999999</v>
      </c>
      <c r="R225" s="4">
        <v>144.5</v>
      </c>
      <c r="S225" s="7">
        <v>11.2</v>
      </c>
      <c r="T225" s="2">
        <v>12</v>
      </c>
    </row>
    <row r="226" spans="1:20" s="56" customFormat="1" x14ac:dyDescent="0.2">
      <c r="A226" s="2">
        <v>10016</v>
      </c>
      <c r="B226" s="3" t="s">
        <v>109</v>
      </c>
      <c r="C226" s="3" t="s">
        <v>110</v>
      </c>
      <c r="D226" s="3" t="s">
        <v>35</v>
      </c>
      <c r="E226" s="3" t="s">
        <v>36</v>
      </c>
      <c r="F226" s="3" t="s">
        <v>37</v>
      </c>
      <c r="G226" s="5">
        <v>1</v>
      </c>
      <c r="H226" s="6" t="s">
        <v>22</v>
      </c>
      <c r="I226" s="6" t="s">
        <v>22</v>
      </c>
      <c r="J226" s="3" t="s">
        <v>100</v>
      </c>
      <c r="K226" s="4">
        <v>137.30000000000001</v>
      </c>
      <c r="L226" s="7">
        <v>7.9889999999999999</v>
      </c>
      <c r="M226" s="4">
        <v>87.19</v>
      </c>
      <c r="N226" s="7">
        <v>6.117</v>
      </c>
      <c r="O226" s="4">
        <v>43.94</v>
      </c>
      <c r="P226" s="7">
        <v>2.456</v>
      </c>
      <c r="Q226" s="7">
        <v>2.9470000000000001</v>
      </c>
      <c r="R226" s="4">
        <v>143.80000000000001</v>
      </c>
      <c r="S226" s="7">
        <v>11.46</v>
      </c>
      <c r="T226" s="2">
        <v>12</v>
      </c>
    </row>
    <row r="227" spans="1:20" s="56" customFormat="1" x14ac:dyDescent="0.2">
      <c r="A227" s="2">
        <v>10017</v>
      </c>
      <c r="B227" s="3" t="s">
        <v>109</v>
      </c>
      <c r="C227" s="3" t="s">
        <v>110</v>
      </c>
      <c r="D227" s="3" t="s">
        <v>35</v>
      </c>
      <c r="E227" s="3" t="s">
        <v>36</v>
      </c>
      <c r="F227" s="3" t="s">
        <v>37</v>
      </c>
      <c r="G227" s="8">
        <v>2</v>
      </c>
      <c r="H227" s="6" t="s">
        <v>22</v>
      </c>
      <c r="I227" s="6" t="s">
        <v>22</v>
      </c>
      <c r="J227" s="3" t="s">
        <v>101</v>
      </c>
      <c r="K227" s="4">
        <v>138.19999999999999</v>
      </c>
      <c r="L227" s="7">
        <v>7.9420000000000002</v>
      </c>
      <c r="M227" s="4">
        <v>84.27</v>
      </c>
      <c r="N227" s="7">
        <v>6.2430000000000003</v>
      </c>
      <c r="O227" s="4">
        <v>43.01</v>
      </c>
      <c r="P227" s="7">
        <v>2.6760000000000002</v>
      </c>
      <c r="Q227" s="7">
        <v>2.9620000000000002</v>
      </c>
      <c r="R227" s="4">
        <v>143</v>
      </c>
      <c r="S227" s="7">
        <v>11.44</v>
      </c>
      <c r="T227" s="2">
        <v>12</v>
      </c>
    </row>
    <row r="228" spans="1:20" s="56" customFormat="1" x14ac:dyDescent="0.2">
      <c r="A228" s="2">
        <v>10018</v>
      </c>
      <c r="B228" s="3" t="s">
        <v>109</v>
      </c>
      <c r="C228" s="3" t="s">
        <v>110</v>
      </c>
      <c r="D228" s="3" t="s">
        <v>35</v>
      </c>
      <c r="E228" s="3" t="s">
        <v>36</v>
      </c>
      <c r="F228" s="3" t="s">
        <v>37</v>
      </c>
      <c r="G228" s="9">
        <v>3</v>
      </c>
      <c r="H228" s="6" t="s">
        <v>22</v>
      </c>
      <c r="I228" s="6" t="s">
        <v>22</v>
      </c>
      <c r="J228" s="3" t="s">
        <v>102</v>
      </c>
      <c r="K228" s="4">
        <v>138.19999999999999</v>
      </c>
      <c r="L228" s="7">
        <v>7.8710000000000004</v>
      </c>
      <c r="M228" s="4">
        <v>85.24</v>
      </c>
      <c r="N228" s="7">
        <v>6.5069999999999997</v>
      </c>
      <c r="O228" s="4">
        <v>41.67</v>
      </c>
      <c r="P228" s="7">
        <v>2.6150000000000002</v>
      </c>
      <c r="Q228" s="7">
        <v>2.7410000000000001</v>
      </c>
      <c r="R228" s="4">
        <v>144.6</v>
      </c>
      <c r="S228" s="7">
        <v>11.42</v>
      </c>
      <c r="T228" s="2">
        <v>12</v>
      </c>
    </row>
    <row r="229" spans="1:20" s="56" customFormat="1" x14ac:dyDescent="0.2">
      <c r="A229" s="2">
        <v>10019</v>
      </c>
      <c r="B229" s="3" t="s">
        <v>109</v>
      </c>
      <c r="C229" s="3" t="s">
        <v>110</v>
      </c>
      <c r="D229" s="3" t="s">
        <v>35</v>
      </c>
      <c r="E229" s="3" t="s">
        <v>36</v>
      </c>
      <c r="F229" s="3" t="s">
        <v>37</v>
      </c>
      <c r="G229" s="5">
        <v>1</v>
      </c>
      <c r="H229" s="6" t="s">
        <v>22</v>
      </c>
      <c r="I229" s="6" t="s">
        <v>22</v>
      </c>
      <c r="J229" s="3" t="s">
        <v>103</v>
      </c>
      <c r="K229" s="4">
        <v>138</v>
      </c>
      <c r="L229" s="7">
        <v>8.09</v>
      </c>
      <c r="M229" s="4">
        <v>87.11</v>
      </c>
      <c r="N229" s="7">
        <v>6.2539999999999996</v>
      </c>
      <c r="O229" s="4">
        <v>43.99</v>
      </c>
      <c r="P229" s="7">
        <v>2.5710000000000002</v>
      </c>
      <c r="Q229" s="7">
        <v>3.0289999999999999</v>
      </c>
      <c r="R229" s="4">
        <v>144.4</v>
      </c>
      <c r="S229" s="7">
        <v>11.84</v>
      </c>
      <c r="T229" s="2">
        <v>12</v>
      </c>
    </row>
    <row r="230" spans="1:20" s="56" customFormat="1" x14ac:dyDescent="0.2">
      <c r="A230" s="2">
        <v>10020</v>
      </c>
      <c r="B230" s="3" t="s">
        <v>109</v>
      </c>
      <c r="C230" s="3" t="s">
        <v>110</v>
      </c>
      <c r="D230" s="3" t="s">
        <v>35</v>
      </c>
      <c r="E230" s="3" t="s">
        <v>36</v>
      </c>
      <c r="F230" s="3" t="s">
        <v>37</v>
      </c>
      <c r="G230" s="8">
        <v>2</v>
      </c>
      <c r="H230" s="6" t="s">
        <v>22</v>
      </c>
      <c r="I230" s="6" t="s">
        <v>22</v>
      </c>
      <c r="J230" s="3" t="s">
        <v>104</v>
      </c>
      <c r="K230" s="4">
        <v>138.19999999999999</v>
      </c>
      <c r="L230" s="7">
        <v>7.9809999999999999</v>
      </c>
      <c r="M230" s="4">
        <v>84.07</v>
      </c>
      <c r="N230" s="7">
        <v>6.2460000000000004</v>
      </c>
      <c r="O230" s="4">
        <v>42.89</v>
      </c>
      <c r="P230" s="7">
        <v>2.7029999999999998</v>
      </c>
      <c r="Q230" s="7">
        <v>2.9750000000000001</v>
      </c>
      <c r="R230" s="4">
        <v>142.80000000000001</v>
      </c>
      <c r="S230" s="7">
        <v>11.32</v>
      </c>
      <c r="T230" s="2">
        <v>12</v>
      </c>
    </row>
    <row r="231" spans="1:20" s="56" customFormat="1" x14ac:dyDescent="0.2">
      <c r="A231" s="2">
        <v>10021</v>
      </c>
      <c r="B231" s="3" t="s">
        <v>109</v>
      </c>
      <c r="C231" s="3" t="s">
        <v>110</v>
      </c>
      <c r="D231" s="3" t="s">
        <v>35</v>
      </c>
      <c r="E231" s="3" t="s">
        <v>36</v>
      </c>
      <c r="F231" s="3" t="s">
        <v>37</v>
      </c>
      <c r="G231" s="9">
        <v>3</v>
      </c>
      <c r="H231" s="6" t="s">
        <v>22</v>
      </c>
      <c r="I231" s="6" t="s">
        <v>22</v>
      </c>
      <c r="J231" s="3" t="s">
        <v>105</v>
      </c>
      <c r="K231" s="4">
        <v>138</v>
      </c>
      <c r="L231" s="7">
        <v>7.8319999999999999</v>
      </c>
      <c r="M231" s="4">
        <v>85.24</v>
      </c>
      <c r="N231" s="7">
        <v>6.4909999999999997</v>
      </c>
      <c r="O231" s="4">
        <v>41.67</v>
      </c>
      <c r="P231" s="7">
        <v>2.625</v>
      </c>
      <c r="Q231" s="7">
        <v>2.738</v>
      </c>
      <c r="R231" s="4">
        <v>144.4</v>
      </c>
      <c r="S231" s="7">
        <v>11.24</v>
      </c>
      <c r="T231" s="2">
        <v>12</v>
      </c>
    </row>
    <row r="232" spans="1:20" s="56" customFormat="1" x14ac:dyDescent="0.2">
      <c r="A232" s="2">
        <v>10022</v>
      </c>
      <c r="B232" s="3" t="s">
        <v>109</v>
      </c>
      <c r="C232" s="3" t="s">
        <v>110</v>
      </c>
      <c r="D232" s="3" t="s">
        <v>35</v>
      </c>
      <c r="E232" s="3" t="s">
        <v>36</v>
      </c>
      <c r="F232" s="3" t="s">
        <v>37</v>
      </c>
      <c r="G232" s="5">
        <v>1</v>
      </c>
      <c r="H232" s="6" t="s">
        <v>22</v>
      </c>
      <c r="I232" s="6" t="s">
        <v>22</v>
      </c>
      <c r="J232" s="3" t="s">
        <v>106</v>
      </c>
      <c r="K232" s="4">
        <v>137.69999999999999</v>
      </c>
      <c r="L232" s="7">
        <v>7.9779999999999998</v>
      </c>
      <c r="M232" s="4">
        <v>87.22</v>
      </c>
      <c r="N232" s="7">
        <v>6.048</v>
      </c>
      <c r="O232" s="4">
        <v>44.17</v>
      </c>
      <c r="P232" s="7">
        <v>2.3809999999999998</v>
      </c>
      <c r="Q232" s="7">
        <v>2.8210000000000002</v>
      </c>
      <c r="R232" s="4">
        <v>143.69999999999999</v>
      </c>
      <c r="S232" s="7">
        <v>11.29</v>
      </c>
      <c r="T232" s="2">
        <v>12</v>
      </c>
    </row>
    <row r="233" spans="1:20" s="56" customFormat="1" x14ac:dyDescent="0.2">
      <c r="A233" s="2">
        <v>10023</v>
      </c>
      <c r="B233" s="3" t="s">
        <v>109</v>
      </c>
      <c r="C233" s="3" t="s">
        <v>110</v>
      </c>
      <c r="D233" s="3" t="s">
        <v>35</v>
      </c>
      <c r="E233" s="3" t="s">
        <v>36</v>
      </c>
      <c r="F233" s="3" t="s">
        <v>37</v>
      </c>
      <c r="G233" s="8">
        <v>2</v>
      </c>
      <c r="H233" s="6" t="s">
        <v>22</v>
      </c>
      <c r="I233" s="6" t="s">
        <v>22</v>
      </c>
      <c r="J233" s="3" t="s">
        <v>107</v>
      </c>
      <c r="K233" s="4">
        <v>138.19999999999999</v>
      </c>
      <c r="L233" s="7">
        <v>7.9640000000000004</v>
      </c>
      <c r="M233" s="4">
        <v>83.97</v>
      </c>
      <c r="N233" s="7">
        <v>6.0030000000000001</v>
      </c>
      <c r="O233" s="4">
        <v>42.46</v>
      </c>
      <c r="P233" s="7">
        <v>2.681</v>
      </c>
      <c r="Q233" s="7">
        <v>2.7610000000000001</v>
      </c>
      <c r="R233" s="4">
        <v>143.5</v>
      </c>
      <c r="S233" s="7">
        <v>11.34</v>
      </c>
      <c r="T233" s="2">
        <v>0</v>
      </c>
    </row>
    <row r="234" spans="1:20" s="56" customFormat="1" x14ac:dyDescent="0.2">
      <c r="A234" s="2">
        <v>10024</v>
      </c>
      <c r="B234" s="3" t="s">
        <v>109</v>
      </c>
      <c r="C234" s="3" t="s">
        <v>110</v>
      </c>
      <c r="D234" s="3" t="s">
        <v>35</v>
      </c>
      <c r="E234" s="3" t="s">
        <v>36</v>
      </c>
      <c r="F234" s="3" t="s">
        <v>37</v>
      </c>
      <c r="G234" s="9">
        <v>3</v>
      </c>
      <c r="H234" s="6" t="s">
        <v>22</v>
      </c>
      <c r="I234" s="6" t="s">
        <v>22</v>
      </c>
      <c r="J234" s="3" t="s">
        <v>108</v>
      </c>
      <c r="K234" s="4">
        <v>136.80000000000001</v>
      </c>
      <c r="L234" s="7">
        <v>7.5010000000000003</v>
      </c>
      <c r="M234" s="4">
        <v>84.41</v>
      </c>
      <c r="N234" s="7">
        <v>5.9240000000000004</v>
      </c>
      <c r="O234" s="4">
        <v>41.06</v>
      </c>
      <c r="P234" s="7">
        <v>2.37</v>
      </c>
      <c r="Q234" s="7">
        <v>2.6930000000000001</v>
      </c>
      <c r="R234" s="4">
        <v>144.4</v>
      </c>
      <c r="S234" s="7">
        <v>10.84</v>
      </c>
      <c r="T234" s="2">
        <v>9999</v>
      </c>
    </row>
    <row r="235" spans="1:20" s="55" customFormat="1" x14ac:dyDescent="0.2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8"/>
      <c r="L235" s="19"/>
      <c r="M235" s="18"/>
      <c r="N235" s="19"/>
      <c r="O235" s="18"/>
      <c r="P235" s="19"/>
      <c r="Q235" s="19"/>
      <c r="R235" s="18"/>
      <c r="S235" s="19"/>
      <c r="T235" s="16"/>
    </row>
    <row r="236" spans="1:20" s="56" customFormat="1" x14ac:dyDescent="0.2">
      <c r="A236" s="2">
        <v>10049</v>
      </c>
      <c r="B236" s="3" t="s">
        <v>115</v>
      </c>
      <c r="C236" s="3" t="s">
        <v>34</v>
      </c>
      <c r="D236" s="3" t="s">
        <v>35</v>
      </c>
      <c r="E236" s="3" t="s">
        <v>36</v>
      </c>
      <c r="F236" s="4" t="s">
        <v>37</v>
      </c>
      <c r="G236" s="5">
        <v>1</v>
      </c>
      <c r="H236" s="6" t="s">
        <v>22</v>
      </c>
      <c r="I236" s="6" t="s">
        <v>22</v>
      </c>
      <c r="J236" s="3" t="s">
        <v>98</v>
      </c>
      <c r="K236" s="4">
        <v>138</v>
      </c>
      <c r="L236" s="7">
        <v>8.0399999999999991</v>
      </c>
      <c r="M236" s="4">
        <v>84.55</v>
      </c>
      <c r="N236" s="7">
        <v>6.0679999999999996</v>
      </c>
      <c r="O236" s="4">
        <v>40.19</v>
      </c>
      <c r="P236" s="7">
        <v>2.774</v>
      </c>
      <c r="Q236" s="7">
        <v>3.0230000000000001</v>
      </c>
      <c r="R236" s="4" t="s">
        <v>137</v>
      </c>
      <c r="S236" s="7">
        <v>11.75</v>
      </c>
      <c r="T236" s="2">
        <v>91</v>
      </c>
    </row>
    <row r="237" spans="1:20" s="56" customFormat="1" x14ac:dyDescent="0.2">
      <c r="A237" s="2">
        <v>10050</v>
      </c>
      <c r="B237" s="3" t="s">
        <v>115</v>
      </c>
      <c r="C237" s="3" t="s">
        <v>34</v>
      </c>
      <c r="D237" s="3" t="s">
        <v>35</v>
      </c>
      <c r="E237" s="3" t="s">
        <v>36</v>
      </c>
      <c r="F237" s="4" t="s">
        <v>37</v>
      </c>
      <c r="G237" s="8">
        <v>2</v>
      </c>
      <c r="H237" s="6" t="s">
        <v>22</v>
      </c>
      <c r="I237" s="6" t="s">
        <v>22</v>
      </c>
      <c r="J237" s="3" t="s">
        <v>99</v>
      </c>
      <c r="K237" s="4">
        <v>137.30000000000001</v>
      </c>
      <c r="L237" s="7">
        <v>7.7510000000000003</v>
      </c>
      <c r="M237" s="4">
        <v>84.32</v>
      </c>
      <c r="N237" s="7">
        <v>6.1379999999999999</v>
      </c>
      <c r="O237" s="4">
        <v>42.41</v>
      </c>
      <c r="P237" s="7">
        <v>2.6269999999999998</v>
      </c>
      <c r="Q237" s="7">
        <v>2.911</v>
      </c>
      <c r="R237" s="4" t="s">
        <v>137</v>
      </c>
      <c r="S237" s="7">
        <v>11.23</v>
      </c>
      <c r="T237" s="2">
        <v>12</v>
      </c>
    </row>
    <row r="238" spans="1:20" s="56" customFormat="1" x14ac:dyDescent="0.2">
      <c r="A238" s="2">
        <v>10051</v>
      </c>
      <c r="B238" s="3" t="s">
        <v>115</v>
      </c>
      <c r="C238" s="3" t="s">
        <v>34</v>
      </c>
      <c r="D238" s="3" t="s">
        <v>35</v>
      </c>
      <c r="E238" s="3" t="s">
        <v>36</v>
      </c>
      <c r="F238" s="4" t="s">
        <v>37</v>
      </c>
      <c r="G238" s="9">
        <v>3</v>
      </c>
      <c r="H238" s="6" t="s">
        <v>22</v>
      </c>
      <c r="I238" s="6" t="s">
        <v>22</v>
      </c>
      <c r="J238" s="3" t="s">
        <v>116</v>
      </c>
      <c r="K238" s="4">
        <v>137.80000000000001</v>
      </c>
      <c r="L238" s="7">
        <v>7.7729999999999997</v>
      </c>
      <c r="M238" s="4">
        <v>85.09</v>
      </c>
      <c r="N238" s="7">
        <v>6.4290000000000003</v>
      </c>
      <c r="O238" s="4">
        <v>41.39</v>
      </c>
      <c r="P238" s="7">
        <v>2.6110000000000002</v>
      </c>
      <c r="Q238" s="7">
        <v>2.8039999999999998</v>
      </c>
      <c r="R238" s="4" t="s">
        <v>137</v>
      </c>
      <c r="S238" s="7">
        <v>10.59</v>
      </c>
      <c r="T238" s="2">
        <v>12</v>
      </c>
    </row>
    <row r="239" spans="1:20" s="56" customFormat="1" x14ac:dyDescent="0.2">
      <c r="A239" s="2">
        <v>10052</v>
      </c>
      <c r="B239" s="3" t="s">
        <v>115</v>
      </c>
      <c r="C239" s="3" t="s">
        <v>34</v>
      </c>
      <c r="D239" s="3" t="s">
        <v>35</v>
      </c>
      <c r="E239" s="3" t="s">
        <v>36</v>
      </c>
      <c r="F239" s="4" t="s">
        <v>37</v>
      </c>
      <c r="G239" s="5">
        <v>1</v>
      </c>
      <c r="H239" s="6" t="s">
        <v>22</v>
      </c>
      <c r="I239" s="6" t="s">
        <v>22</v>
      </c>
      <c r="J239" s="3" t="s">
        <v>101</v>
      </c>
      <c r="K239" s="4">
        <v>137.9</v>
      </c>
      <c r="L239" s="7">
        <v>8.0039999999999996</v>
      </c>
      <c r="M239" s="4">
        <v>87.15</v>
      </c>
      <c r="N239" s="7">
        <v>6.1559999999999997</v>
      </c>
      <c r="O239" s="4">
        <v>43.87</v>
      </c>
      <c r="P239" s="7">
        <v>2.476</v>
      </c>
      <c r="Q239" s="7">
        <v>2.9249999999999998</v>
      </c>
      <c r="R239" s="4" t="s">
        <v>137</v>
      </c>
      <c r="S239" s="7">
        <v>11.71</v>
      </c>
      <c r="T239" s="2">
        <v>12</v>
      </c>
    </row>
    <row r="240" spans="1:20" s="56" customFormat="1" x14ac:dyDescent="0.2">
      <c r="A240" s="2">
        <v>10053</v>
      </c>
      <c r="B240" s="3" t="s">
        <v>115</v>
      </c>
      <c r="C240" s="3" t="s">
        <v>34</v>
      </c>
      <c r="D240" s="3" t="s">
        <v>35</v>
      </c>
      <c r="E240" s="3" t="s">
        <v>36</v>
      </c>
      <c r="F240" s="4" t="s">
        <v>37</v>
      </c>
      <c r="G240" s="8">
        <v>2</v>
      </c>
      <c r="H240" s="6" t="s">
        <v>22</v>
      </c>
      <c r="I240" s="6" t="s">
        <v>22</v>
      </c>
      <c r="J240" s="3" t="s">
        <v>102</v>
      </c>
      <c r="K240" s="4">
        <v>137.69999999999999</v>
      </c>
      <c r="L240" s="7">
        <v>7.9169999999999998</v>
      </c>
      <c r="M240" s="4">
        <v>84.11</v>
      </c>
      <c r="N240" s="7">
        <v>6.1539999999999999</v>
      </c>
      <c r="O240" s="4">
        <v>42.78</v>
      </c>
      <c r="P240" s="7">
        <v>2.6779999999999999</v>
      </c>
      <c r="Q240" s="7">
        <v>2.8570000000000002</v>
      </c>
      <c r="R240" s="4" t="s">
        <v>137</v>
      </c>
      <c r="S240" s="7">
        <v>11.5</v>
      </c>
      <c r="T240" s="2">
        <v>12</v>
      </c>
    </row>
    <row r="241" spans="1:20" s="56" customFormat="1" x14ac:dyDescent="0.2">
      <c r="A241" s="2">
        <v>10054</v>
      </c>
      <c r="B241" s="3" t="s">
        <v>115</v>
      </c>
      <c r="C241" s="3" t="s">
        <v>34</v>
      </c>
      <c r="D241" s="3" t="s">
        <v>35</v>
      </c>
      <c r="E241" s="3" t="s">
        <v>36</v>
      </c>
      <c r="F241" s="4" t="s">
        <v>37</v>
      </c>
      <c r="G241" s="9">
        <v>3</v>
      </c>
      <c r="H241" s="6" t="s">
        <v>22</v>
      </c>
      <c r="I241" s="6" t="s">
        <v>22</v>
      </c>
      <c r="J241" s="3" t="s">
        <v>111</v>
      </c>
      <c r="K241" s="4">
        <v>137.80000000000001</v>
      </c>
      <c r="L241" s="7">
        <v>7.88</v>
      </c>
      <c r="M241" s="4">
        <v>85</v>
      </c>
      <c r="N241" s="7">
        <v>6.4459999999999997</v>
      </c>
      <c r="O241" s="4">
        <v>41.41</v>
      </c>
      <c r="P241" s="7">
        <v>2.6139999999999999</v>
      </c>
      <c r="Q241" s="7">
        <v>2.7839999999999998</v>
      </c>
      <c r="R241" s="4" t="s">
        <v>137</v>
      </c>
      <c r="S241" s="7">
        <v>11.06</v>
      </c>
      <c r="T241" s="2">
        <v>9</v>
      </c>
    </row>
    <row r="242" spans="1:20" s="56" customFormat="1" x14ac:dyDescent="0.2">
      <c r="A242" s="2">
        <v>10055</v>
      </c>
      <c r="B242" s="3" t="s">
        <v>115</v>
      </c>
      <c r="C242" s="3" t="s">
        <v>34</v>
      </c>
      <c r="D242" s="3" t="s">
        <v>35</v>
      </c>
      <c r="E242" s="3" t="s">
        <v>36</v>
      </c>
      <c r="F242" s="4" t="s">
        <v>37</v>
      </c>
      <c r="G242" s="5">
        <v>1</v>
      </c>
      <c r="H242" s="6" t="s">
        <v>22</v>
      </c>
      <c r="I242" s="6" t="s">
        <v>22</v>
      </c>
      <c r="J242" s="3" t="s">
        <v>105</v>
      </c>
      <c r="K242" s="4">
        <v>138.4</v>
      </c>
      <c r="L242" s="7">
        <v>8.125</v>
      </c>
      <c r="M242" s="4">
        <v>85.65</v>
      </c>
      <c r="N242" s="7">
        <v>6.18</v>
      </c>
      <c r="O242" s="4">
        <v>42.15</v>
      </c>
      <c r="P242" s="7">
        <v>2.6520000000000001</v>
      </c>
      <c r="Q242" s="7">
        <v>2.9750000000000001</v>
      </c>
      <c r="R242" s="4" t="s">
        <v>137</v>
      </c>
      <c r="S242" s="7">
        <v>11.91</v>
      </c>
      <c r="T242" s="2">
        <v>11</v>
      </c>
    </row>
    <row r="243" spans="1:20" s="56" customFormat="1" x14ac:dyDescent="0.2">
      <c r="A243" s="2">
        <v>10056</v>
      </c>
      <c r="B243" s="3" t="s">
        <v>115</v>
      </c>
      <c r="C243" s="3" t="s">
        <v>34</v>
      </c>
      <c r="D243" s="3" t="s">
        <v>35</v>
      </c>
      <c r="E243" s="3" t="s">
        <v>36</v>
      </c>
      <c r="F243" s="4" t="s">
        <v>37</v>
      </c>
      <c r="G243" s="8">
        <v>2</v>
      </c>
      <c r="H243" s="6" t="s">
        <v>22</v>
      </c>
      <c r="I243" s="6" t="s">
        <v>22</v>
      </c>
      <c r="J243" s="3" t="s">
        <v>112</v>
      </c>
      <c r="K243" s="4">
        <v>137.6</v>
      </c>
      <c r="L243" s="7">
        <v>7.8220000000000001</v>
      </c>
      <c r="M243" s="4">
        <v>84.45</v>
      </c>
      <c r="N243" s="7">
        <v>6.2080000000000002</v>
      </c>
      <c r="O243" s="4">
        <v>42.57</v>
      </c>
      <c r="P243" s="7">
        <v>2.7090000000000001</v>
      </c>
      <c r="Q243" s="7">
        <v>2.9790000000000001</v>
      </c>
      <c r="R243" s="4" t="s">
        <v>137</v>
      </c>
      <c r="S243" s="7">
        <v>11.26</v>
      </c>
      <c r="T243" s="2">
        <v>11</v>
      </c>
    </row>
    <row r="244" spans="1:20" s="56" customFormat="1" x14ac:dyDescent="0.2">
      <c r="A244" s="2">
        <v>10057</v>
      </c>
      <c r="B244" s="3" t="s">
        <v>115</v>
      </c>
      <c r="C244" s="3" t="s">
        <v>34</v>
      </c>
      <c r="D244" s="3" t="s">
        <v>35</v>
      </c>
      <c r="E244" s="3" t="s">
        <v>36</v>
      </c>
      <c r="F244" s="4" t="s">
        <v>37</v>
      </c>
      <c r="G244" s="9">
        <v>3</v>
      </c>
      <c r="H244" s="6" t="s">
        <v>22</v>
      </c>
      <c r="I244" s="6" t="s">
        <v>22</v>
      </c>
      <c r="J244" s="3" t="s">
        <v>106</v>
      </c>
      <c r="K244" s="4">
        <v>137.6</v>
      </c>
      <c r="L244" s="7">
        <v>7.8209999999999997</v>
      </c>
      <c r="M244" s="4">
        <v>85.14</v>
      </c>
      <c r="N244" s="7">
        <v>6.4729999999999999</v>
      </c>
      <c r="O244" s="4">
        <v>42.41</v>
      </c>
      <c r="P244" s="7">
        <v>2.6429999999999998</v>
      </c>
      <c r="Q244" s="7">
        <v>2.7410000000000001</v>
      </c>
      <c r="R244" s="4" t="s">
        <v>137</v>
      </c>
      <c r="S244" s="7">
        <v>11.05</v>
      </c>
      <c r="T244" s="2">
        <v>0</v>
      </c>
    </row>
    <row r="245" spans="1:20" s="56" customFormat="1" x14ac:dyDescent="0.2">
      <c r="A245" s="2">
        <v>10058</v>
      </c>
      <c r="B245" s="3" t="s">
        <v>115</v>
      </c>
      <c r="C245" s="3" t="s">
        <v>34</v>
      </c>
      <c r="D245" s="3" t="s">
        <v>35</v>
      </c>
      <c r="E245" s="3" t="s">
        <v>36</v>
      </c>
      <c r="F245" s="4" t="s">
        <v>37</v>
      </c>
      <c r="G245" s="5">
        <v>1</v>
      </c>
      <c r="H245" s="6" t="s">
        <v>22</v>
      </c>
      <c r="I245" s="6" t="s">
        <v>22</v>
      </c>
      <c r="J245" s="3" t="s">
        <v>108</v>
      </c>
      <c r="K245" s="4">
        <v>138.1</v>
      </c>
      <c r="L245" s="7">
        <v>7.915</v>
      </c>
      <c r="M245" s="4">
        <v>87.07</v>
      </c>
      <c r="N245" s="7">
        <v>5.9980000000000002</v>
      </c>
      <c r="O245" s="4">
        <v>44.08</v>
      </c>
      <c r="P245" s="7">
        <v>2.359</v>
      </c>
      <c r="Q245" s="7">
        <v>2.8109999999999999</v>
      </c>
      <c r="R245" s="4" t="s">
        <v>137</v>
      </c>
      <c r="S245" s="7">
        <v>11.28</v>
      </c>
      <c r="T245" s="2">
        <v>12</v>
      </c>
    </row>
    <row r="246" spans="1:20" s="56" customFormat="1" x14ac:dyDescent="0.2">
      <c r="A246" s="2">
        <v>10059</v>
      </c>
      <c r="B246" s="3" t="s">
        <v>115</v>
      </c>
      <c r="C246" s="3" t="s">
        <v>34</v>
      </c>
      <c r="D246" s="3" t="s">
        <v>35</v>
      </c>
      <c r="E246" s="3" t="s">
        <v>36</v>
      </c>
      <c r="F246" s="4" t="s">
        <v>37</v>
      </c>
      <c r="G246" s="8">
        <v>2</v>
      </c>
      <c r="H246" s="6" t="s">
        <v>22</v>
      </c>
      <c r="I246" s="6" t="s">
        <v>22</v>
      </c>
      <c r="J246" s="3" t="s">
        <v>113</v>
      </c>
      <c r="K246" s="4">
        <v>138.19999999999999</v>
      </c>
      <c r="L246" s="7">
        <v>7.915</v>
      </c>
      <c r="M246" s="4">
        <v>83.93</v>
      </c>
      <c r="N246" s="7">
        <v>6.048</v>
      </c>
      <c r="O246" s="4">
        <v>41.5</v>
      </c>
      <c r="P246" s="7">
        <v>2.6869999999999998</v>
      </c>
      <c r="Q246" s="7">
        <v>2.7429999999999999</v>
      </c>
      <c r="R246" s="4" t="s">
        <v>137</v>
      </c>
      <c r="S246" s="7">
        <v>11.35</v>
      </c>
      <c r="T246" s="2">
        <v>0</v>
      </c>
    </row>
    <row r="247" spans="1:20" s="56" customFormat="1" x14ac:dyDescent="0.2">
      <c r="A247" s="2">
        <v>10060</v>
      </c>
      <c r="B247" s="3" t="s">
        <v>115</v>
      </c>
      <c r="C247" s="3" t="s">
        <v>34</v>
      </c>
      <c r="D247" s="3" t="s">
        <v>35</v>
      </c>
      <c r="E247" s="3" t="s">
        <v>36</v>
      </c>
      <c r="F247" s="4" t="s">
        <v>37</v>
      </c>
      <c r="G247" s="9">
        <v>3</v>
      </c>
      <c r="H247" s="6" t="s">
        <v>22</v>
      </c>
      <c r="I247" s="6" t="s">
        <v>22</v>
      </c>
      <c r="J247" s="3" t="s">
        <v>114</v>
      </c>
      <c r="K247" s="4">
        <v>136.9</v>
      </c>
      <c r="L247" s="7">
        <v>7.6260000000000003</v>
      </c>
      <c r="M247" s="4">
        <v>84.79</v>
      </c>
      <c r="N247" s="7">
        <v>6.1790000000000003</v>
      </c>
      <c r="O247" s="4">
        <v>41.12</v>
      </c>
      <c r="P247" s="4">
        <v>2.5529999999999999</v>
      </c>
      <c r="Q247" s="4">
        <v>2.8340000000000001</v>
      </c>
      <c r="R247" s="4" t="s">
        <v>137</v>
      </c>
      <c r="S247" s="7">
        <v>11.05</v>
      </c>
      <c r="T247" s="2">
        <v>9999</v>
      </c>
    </row>
    <row r="248" spans="1:20" s="55" customFormat="1" x14ac:dyDescent="0.2">
      <c r="A248" s="16"/>
      <c r="B248" s="12"/>
      <c r="C248" s="12"/>
      <c r="D248" s="12"/>
      <c r="E248" s="12"/>
      <c r="F248" s="59"/>
      <c r="G248" s="12"/>
      <c r="H248" s="12"/>
      <c r="I248" s="12"/>
      <c r="J248" s="12"/>
      <c r="K248" s="59"/>
      <c r="L248" s="60"/>
      <c r="M248" s="59"/>
      <c r="N248" s="60"/>
      <c r="O248" s="59"/>
      <c r="P248" s="59"/>
      <c r="Q248" s="59"/>
      <c r="R248" s="59"/>
      <c r="S248" s="60"/>
      <c r="T248" s="16"/>
    </row>
    <row r="287" spans="1:52" s="26" customFormat="1" x14ac:dyDescent="0.2">
      <c r="A287" s="21"/>
      <c r="U287" s="25"/>
      <c r="V287" s="42"/>
      <c r="W287" s="42"/>
      <c r="X287" s="42"/>
      <c r="Y287" s="42"/>
      <c r="Z287" s="42"/>
      <c r="AA287" s="42"/>
      <c r="AB287" s="42"/>
      <c r="AC287" s="49"/>
      <c r="AD287" s="50"/>
      <c r="AE287" s="49"/>
      <c r="AF287" s="50"/>
      <c r="AG287" s="49"/>
      <c r="AH287" s="50"/>
      <c r="AI287" s="50"/>
      <c r="AJ287" s="49"/>
      <c r="AK287" s="50"/>
      <c r="AL287" s="42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</row>
    <row r="288" spans="1:52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9"/>
      <c r="L288" s="50"/>
      <c r="M288" s="49"/>
      <c r="N288" s="50"/>
      <c r="O288" s="49"/>
      <c r="P288" s="50"/>
      <c r="Q288" s="50"/>
      <c r="R288" s="49"/>
      <c r="S288" s="50"/>
      <c r="T288" s="42"/>
      <c r="V288" s="46"/>
    </row>
    <row r="289" spans="1:22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9"/>
      <c r="L289" s="50"/>
      <c r="M289" s="49"/>
      <c r="N289" s="50"/>
      <c r="O289" s="49"/>
      <c r="P289" s="50"/>
      <c r="Q289" s="50"/>
      <c r="R289" s="49"/>
      <c r="S289" s="50"/>
      <c r="T289" s="42"/>
      <c r="V289" s="46"/>
    </row>
    <row r="290" spans="1:22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9"/>
      <c r="L290" s="50"/>
      <c r="M290" s="49"/>
      <c r="N290" s="50"/>
      <c r="O290" s="49"/>
      <c r="P290" s="50"/>
      <c r="Q290" s="50"/>
      <c r="R290" s="49"/>
      <c r="S290" s="50"/>
      <c r="T290" s="42"/>
      <c r="V290" s="46"/>
    </row>
    <row r="291" spans="1:22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9"/>
      <c r="L291" s="50"/>
      <c r="M291" s="49"/>
      <c r="N291" s="50"/>
      <c r="O291" s="49"/>
      <c r="P291" s="50"/>
      <c r="Q291" s="50"/>
      <c r="R291" s="49"/>
      <c r="S291" s="50"/>
      <c r="T291" s="42"/>
      <c r="V291" s="46"/>
    </row>
    <row r="292" spans="1:22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9"/>
      <c r="L292" s="50"/>
      <c r="M292" s="49"/>
      <c r="N292" s="50"/>
      <c r="O292" s="49"/>
      <c r="P292" s="50"/>
      <c r="Q292" s="50"/>
      <c r="R292" s="49"/>
      <c r="S292" s="50"/>
      <c r="T292" s="42"/>
      <c r="V292" s="46"/>
    </row>
    <row r="293" spans="1:22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9"/>
      <c r="L293" s="50"/>
      <c r="M293" s="49"/>
      <c r="N293" s="50"/>
      <c r="O293" s="49"/>
      <c r="P293" s="50"/>
      <c r="Q293" s="50"/>
      <c r="R293" s="49"/>
      <c r="S293" s="50"/>
      <c r="T293" s="42"/>
      <c r="V293" s="46"/>
    </row>
    <row r="294" spans="1:22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9"/>
      <c r="L294" s="50"/>
      <c r="M294" s="49"/>
      <c r="N294" s="50"/>
      <c r="O294" s="49"/>
      <c r="P294" s="50"/>
      <c r="Q294" s="50"/>
      <c r="R294" s="49"/>
      <c r="S294" s="50"/>
      <c r="T294" s="42"/>
      <c r="V294" s="46"/>
    </row>
    <row r="295" spans="1:22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9"/>
      <c r="L295" s="50"/>
      <c r="M295" s="49"/>
      <c r="N295" s="50"/>
      <c r="O295" s="49"/>
      <c r="P295" s="50"/>
      <c r="Q295" s="50"/>
      <c r="R295" s="49"/>
      <c r="S295" s="50"/>
      <c r="T295" s="42"/>
      <c r="V295" s="46"/>
    </row>
    <row r="296" spans="1:22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9"/>
      <c r="L296" s="50"/>
      <c r="M296" s="49"/>
      <c r="N296" s="50"/>
      <c r="O296" s="49"/>
      <c r="P296" s="50"/>
      <c r="Q296" s="50"/>
      <c r="R296" s="49"/>
      <c r="S296" s="50"/>
      <c r="T296" s="42"/>
      <c r="V296" s="46"/>
    </row>
    <row r="297" spans="1:22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9"/>
      <c r="L297" s="50"/>
      <c r="M297" s="49"/>
      <c r="N297" s="50"/>
      <c r="O297" s="49"/>
      <c r="P297" s="50"/>
      <c r="Q297" s="50"/>
      <c r="R297" s="49"/>
      <c r="S297" s="50"/>
      <c r="T297" s="42"/>
      <c r="V297" s="46"/>
    </row>
    <row r="298" spans="1:22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9"/>
      <c r="L298" s="50"/>
      <c r="M298" s="49"/>
      <c r="N298" s="50"/>
      <c r="O298" s="49"/>
      <c r="P298" s="50"/>
      <c r="Q298" s="50"/>
      <c r="R298" s="49"/>
      <c r="S298" s="50"/>
      <c r="T298" s="42"/>
      <c r="V298" s="46"/>
    </row>
    <row r="299" spans="1:22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9"/>
      <c r="L299" s="50"/>
      <c r="M299" s="49"/>
      <c r="N299" s="50"/>
      <c r="O299" s="49"/>
      <c r="P299" s="50"/>
      <c r="Q299" s="50"/>
      <c r="R299" s="49"/>
      <c r="S299" s="50"/>
      <c r="T299" s="42"/>
      <c r="V299" s="46"/>
    </row>
    <row r="300" spans="1:22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9"/>
      <c r="L300" s="50"/>
      <c r="M300" s="49"/>
      <c r="N300" s="50"/>
      <c r="O300" s="49"/>
      <c r="P300" s="50"/>
      <c r="Q300" s="50"/>
      <c r="R300" s="49"/>
      <c r="S300" s="50"/>
      <c r="T300" s="42"/>
      <c r="V300" s="46"/>
    </row>
    <row r="301" spans="1:22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9"/>
      <c r="L301" s="50"/>
      <c r="M301" s="49"/>
      <c r="N301" s="50"/>
      <c r="O301" s="49"/>
      <c r="P301" s="50"/>
      <c r="Q301" s="50"/>
      <c r="R301" s="49"/>
      <c r="S301" s="50"/>
      <c r="T301" s="42"/>
      <c r="V301" s="46"/>
    </row>
    <row r="302" spans="1:22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9"/>
      <c r="L302" s="50"/>
      <c r="M302" s="49"/>
      <c r="N302" s="50"/>
      <c r="O302" s="49"/>
      <c r="P302" s="50"/>
      <c r="Q302" s="50"/>
      <c r="R302" s="49"/>
      <c r="S302" s="50"/>
      <c r="T302" s="42"/>
      <c r="V302" s="46"/>
    </row>
    <row r="303" spans="1:22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9"/>
      <c r="L303" s="50"/>
      <c r="M303" s="49"/>
      <c r="N303" s="50"/>
      <c r="O303" s="49"/>
      <c r="P303" s="50"/>
      <c r="Q303" s="50"/>
      <c r="R303" s="49"/>
      <c r="S303" s="50"/>
      <c r="T303" s="42"/>
      <c r="V303" s="46"/>
    </row>
    <row r="304" spans="1:22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9"/>
      <c r="L304" s="50"/>
      <c r="M304" s="49"/>
      <c r="N304" s="50"/>
      <c r="O304" s="49"/>
      <c r="P304" s="50"/>
      <c r="Q304" s="50"/>
      <c r="R304" s="49"/>
      <c r="S304" s="50"/>
      <c r="T304" s="42"/>
      <c r="V304" s="46"/>
    </row>
    <row r="305" spans="1:22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9"/>
      <c r="L305" s="50"/>
      <c r="M305" s="49"/>
      <c r="N305" s="50"/>
      <c r="O305" s="49"/>
      <c r="P305" s="50"/>
      <c r="Q305" s="50"/>
      <c r="R305" s="49"/>
      <c r="S305" s="50"/>
      <c r="T305" s="42"/>
      <c r="V305" s="46"/>
    </row>
    <row r="306" spans="1:22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9"/>
      <c r="L306" s="50"/>
      <c r="M306" s="49"/>
      <c r="N306" s="50"/>
      <c r="O306" s="49"/>
      <c r="P306" s="50"/>
      <c r="Q306" s="50"/>
      <c r="R306" s="49"/>
      <c r="S306" s="50"/>
      <c r="T306" s="42"/>
      <c r="V306" s="46"/>
    </row>
    <row r="307" spans="1:22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9"/>
      <c r="L307" s="50"/>
      <c r="M307" s="49"/>
      <c r="N307" s="50"/>
      <c r="O307" s="49"/>
      <c r="P307" s="50"/>
      <c r="Q307" s="50"/>
      <c r="R307" s="49"/>
      <c r="S307" s="50"/>
      <c r="T307" s="42"/>
      <c r="V307" s="46"/>
    </row>
    <row r="308" spans="1:22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9"/>
      <c r="L308" s="50"/>
      <c r="M308" s="49"/>
      <c r="N308" s="50"/>
      <c r="O308" s="49"/>
      <c r="P308" s="50"/>
      <c r="Q308" s="50"/>
      <c r="R308" s="49"/>
      <c r="S308" s="50"/>
      <c r="T308" s="42"/>
      <c r="V308" s="46"/>
    </row>
    <row r="309" spans="1:22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9"/>
      <c r="L309" s="50"/>
      <c r="M309" s="49"/>
      <c r="N309" s="50"/>
      <c r="O309" s="49"/>
      <c r="P309" s="50"/>
      <c r="Q309" s="50"/>
      <c r="R309" s="49"/>
      <c r="S309" s="50"/>
      <c r="T309" s="42"/>
      <c r="V309" s="46"/>
    </row>
    <row r="310" spans="1:22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9"/>
      <c r="L310" s="50"/>
      <c r="M310" s="49"/>
      <c r="N310" s="50"/>
      <c r="O310" s="49"/>
      <c r="P310" s="50"/>
      <c r="Q310" s="50"/>
      <c r="R310" s="49"/>
      <c r="S310" s="50"/>
      <c r="T310" s="42"/>
      <c r="V310" s="46"/>
    </row>
    <row r="311" spans="1:22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9"/>
      <c r="L311" s="50"/>
      <c r="M311" s="49"/>
      <c r="N311" s="50"/>
      <c r="O311" s="49"/>
      <c r="P311" s="50"/>
      <c r="Q311" s="50"/>
      <c r="R311" s="49"/>
      <c r="S311" s="50"/>
      <c r="T311" s="42"/>
      <c r="V311" s="46"/>
    </row>
    <row r="312" spans="1:22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9"/>
      <c r="L312" s="50"/>
      <c r="M312" s="49"/>
      <c r="N312" s="50"/>
      <c r="O312" s="49"/>
      <c r="P312" s="50"/>
      <c r="Q312" s="50"/>
      <c r="R312" s="49"/>
      <c r="S312" s="50"/>
      <c r="T312" s="42"/>
      <c r="V312" s="46"/>
    </row>
    <row r="313" spans="1:22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9"/>
      <c r="L313" s="50"/>
      <c r="M313" s="49"/>
      <c r="N313" s="50"/>
      <c r="O313" s="49"/>
      <c r="P313" s="50"/>
      <c r="Q313" s="50"/>
      <c r="R313" s="49"/>
      <c r="S313" s="50"/>
      <c r="T313" s="42"/>
      <c r="V313" s="46"/>
    </row>
    <row r="314" spans="1:22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9"/>
      <c r="L314" s="50"/>
      <c r="M314" s="49"/>
      <c r="N314" s="50"/>
      <c r="O314" s="49"/>
      <c r="P314" s="50"/>
      <c r="Q314" s="50"/>
      <c r="R314" s="49"/>
      <c r="S314" s="50"/>
      <c r="T314" s="42"/>
      <c r="V314" s="46"/>
    </row>
    <row r="315" spans="1:22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9"/>
      <c r="L315" s="50"/>
      <c r="M315" s="49"/>
      <c r="N315" s="50"/>
      <c r="O315" s="49"/>
      <c r="P315" s="50"/>
      <c r="Q315" s="50"/>
      <c r="R315" s="49"/>
      <c r="S315" s="50"/>
      <c r="T315" s="42"/>
      <c r="V315" s="46"/>
    </row>
    <row r="316" spans="1:22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9"/>
      <c r="L316" s="50"/>
      <c r="M316" s="49"/>
      <c r="N316" s="50"/>
      <c r="O316" s="49"/>
      <c r="P316" s="50"/>
      <c r="Q316" s="50"/>
      <c r="R316" s="49"/>
      <c r="S316" s="50"/>
      <c r="T316" s="42"/>
      <c r="V316" s="46"/>
    </row>
    <row r="317" spans="1:22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9"/>
      <c r="L317" s="50"/>
      <c r="M317" s="49"/>
      <c r="N317" s="50"/>
      <c r="O317" s="49"/>
      <c r="P317" s="50"/>
      <c r="Q317" s="50"/>
      <c r="R317" s="49"/>
      <c r="S317" s="50"/>
      <c r="T317" s="42"/>
      <c r="V317" s="46"/>
    </row>
    <row r="318" spans="1:22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9"/>
      <c r="L318" s="50"/>
      <c r="M318" s="49"/>
      <c r="N318" s="50"/>
      <c r="O318" s="49"/>
      <c r="P318" s="50"/>
      <c r="Q318" s="50"/>
      <c r="R318" s="49"/>
      <c r="S318" s="50"/>
      <c r="T318" s="42"/>
      <c r="V318" s="46"/>
    </row>
    <row r="319" spans="1:22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9"/>
      <c r="L319" s="50"/>
      <c r="M319" s="49"/>
      <c r="N319" s="50"/>
      <c r="O319" s="49"/>
      <c r="P319" s="50"/>
      <c r="Q319" s="50"/>
      <c r="R319" s="49"/>
      <c r="S319" s="50"/>
      <c r="T319" s="42"/>
      <c r="V319" s="46"/>
    </row>
    <row r="320" spans="1:22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9"/>
      <c r="L320" s="50"/>
      <c r="M320" s="49"/>
      <c r="N320" s="50"/>
      <c r="O320" s="49"/>
      <c r="P320" s="50"/>
      <c r="Q320" s="50"/>
      <c r="R320" s="49"/>
      <c r="S320" s="50"/>
      <c r="T320" s="42"/>
      <c r="V320" s="46"/>
    </row>
    <row r="321" spans="1:22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9"/>
      <c r="L321" s="50"/>
      <c r="M321" s="49"/>
      <c r="N321" s="50"/>
      <c r="O321" s="49"/>
      <c r="P321" s="50"/>
      <c r="Q321" s="50"/>
      <c r="R321" s="49"/>
      <c r="S321" s="50"/>
      <c r="T321" s="42"/>
      <c r="V321" s="46"/>
    </row>
    <row r="322" spans="1:22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9"/>
      <c r="L322" s="50"/>
      <c r="M322" s="49"/>
      <c r="N322" s="50"/>
      <c r="O322" s="49"/>
      <c r="P322" s="50"/>
      <c r="Q322" s="50"/>
      <c r="R322" s="49"/>
      <c r="S322" s="50"/>
      <c r="T322" s="42"/>
      <c r="V322" s="46"/>
    </row>
    <row r="323" spans="1:22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9"/>
      <c r="L323" s="50"/>
      <c r="M323" s="49"/>
      <c r="N323" s="50"/>
      <c r="O323" s="49"/>
      <c r="P323" s="50"/>
      <c r="Q323" s="50"/>
      <c r="R323" s="49"/>
      <c r="S323" s="50"/>
      <c r="T323" s="42"/>
      <c r="V323" s="46"/>
    </row>
    <row r="324" spans="1:22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9"/>
      <c r="L324" s="50"/>
      <c r="M324" s="49"/>
      <c r="N324" s="50"/>
      <c r="O324" s="49"/>
      <c r="P324" s="50"/>
      <c r="Q324" s="50"/>
      <c r="R324" s="49"/>
      <c r="S324" s="50"/>
      <c r="T324" s="42"/>
      <c r="V324" s="46"/>
    </row>
  </sheetData>
  <pageMargins left="0.7" right="0.7" top="0.75" bottom="0.75" header="0.51180555555555496" footer="0.51180555555555496"/>
  <pageSetup paperSize="0" firstPageNumber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5"/>
  <sheetViews>
    <sheetView topLeftCell="D1" zoomScale="125" zoomScaleNormal="85" workbookViewId="0">
      <pane ySplit="1" topLeftCell="A3" activePane="bottomLeft" state="frozen"/>
      <selection pane="bottomLeft" activeCell="T9" sqref="T9"/>
    </sheetView>
  </sheetViews>
  <sheetFormatPr baseColWidth="10" defaultColWidth="8.83203125" defaultRowHeight="14" x14ac:dyDescent="0.2"/>
  <cols>
    <col min="1" max="1" width="7" style="56" bestFit="1" customWidth="1"/>
    <col min="2" max="2" width="16.5" style="56" customWidth="1"/>
    <col min="3" max="3" width="43.83203125" style="56" customWidth="1"/>
    <col min="4" max="4" width="11.5" style="56" customWidth="1"/>
    <col min="5" max="5" width="13.6640625" style="56" customWidth="1"/>
    <col min="6" max="6" width="16.6640625" style="56" customWidth="1"/>
    <col min="7" max="7" width="7.5" style="56" bestFit="1" customWidth="1"/>
    <col min="8" max="8" width="11.6640625" style="56" customWidth="1"/>
    <col min="9" max="9" width="9.83203125" style="56" bestFit="1" customWidth="1"/>
    <col min="10" max="10" width="7.5" style="56" customWidth="1"/>
    <col min="11" max="11" width="7.5" style="57" customWidth="1"/>
    <col min="12" max="12" width="7.5" style="58" customWidth="1"/>
    <col min="13" max="13" width="7.5" style="57" customWidth="1"/>
    <col min="14" max="14" width="7.5" style="58" customWidth="1"/>
    <col min="15" max="15" width="7.5" style="57" customWidth="1"/>
    <col min="16" max="17" width="7.5" style="58" customWidth="1"/>
    <col min="18" max="18" width="7.5" style="57" customWidth="1"/>
    <col min="19" max="19" width="7.5" style="58" customWidth="1"/>
    <col min="20" max="22" width="10.1640625" style="56" customWidth="1"/>
    <col min="23" max="16384" width="8.83203125" style="56"/>
  </cols>
  <sheetData>
    <row r="1" spans="1:54" s="55" customFormat="1" ht="28" x14ac:dyDescent="0.2">
      <c r="A1" s="13" t="s">
        <v>145</v>
      </c>
      <c r="B1" s="13" t="s">
        <v>0</v>
      </c>
      <c r="C1" s="13" t="s">
        <v>1</v>
      </c>
      <c r="D1" s="13" t="s">
        <v>2</v>
      </c>
      <c r="E1" s="13" t="s">
        <v>138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4" t="s">
        <v>8</v>
      </c>
      <c r="L1" s="15" t="s">
        <v>9</v>
      </c>
      <c r="M1" s="14" t="s">
        <v>10</v>
      </c>
      <c r="N1" s="15" t="s">
        <v>11</v>
      </c>
      <c r="O1" s="14" t="s">
        <v>12</v>
      </c>
      <c r="P1" s="15" t="s">
        <v>13</v>
      </c>
      <c r="Q1" s="15" t="s">
        <v>14</v>
      </c>
      <c r="R1" s="14" t="s">
        <v>15</v>
      </c>
      <c r="S1" s="15" t="s">
        <v>16</v>
      </c>
      <c r="T1" s="61" t="s">
        <v>154</v>
      </c>
      <c r="U1" s="61" t="s">
        <v>155</v>
      </c>
      <c r="V1" s="61" t="s">
        <v>156</v>
      </c>
    </row>
    <row r="2" spans="1:54" s="25" customFormat="1" x14ac:dyDescent="0.2">
      <c r="A2" s="29">
        <v>433</v>
      </c>
      <c r="B2" s="29" t="s">
        <v>79</v>
      </c>
      <c r="C2" s="29" t="s">
        <v>80</v>
      </c>
      <c r="D2" s="29" t="s">
        <v>18</v>
      </c>
      <c r="E2" s="29" t="s">
        <v>57</v>
      </c>
      <c r="F2" s="29" t="s">
        <v>58</v>
      </c>
      <c r="G2" s="36">
        <v>1</v>
      </c>
      <c r="H2" s="37" t="s">
        <v>21</v>
      </c>
      <c r="I2" s="37" t="s">
        <v>21</v>
      </c>
      <c r="J2" s="29" t="s">
        <v>24</v>
      </c>
      <c r="K2" s="28" t="s">
        <v>137</v>
      </c>
      <c r="L2" s="38">
        <v>6.9160000000000004</v>
      </c>
      <c r="M2" s="28" t="s">
        <v>137</v>
      </c>
      <c r="N2" s="38">
        <v>5.9009999999999998</v>
      </c>
      <c r="O2" s="28" t="s">
        <v>137</v>
      </c>
      <c r="P2" s="38">
        <v>2.9449999999999998</v>
      </c>
      <c r="Q2" s="38">
        <v>3.302</v>
      </c>
      <c r="R2" s="28" t="s">
        <v>137</v>
      </c>
      <c r="S2" s="38">
        <v>11.836</v>
      </c>
      <c r="T2" s="29" t="s">
        <v>157</v>
      </c>
      <c r="U2" s="29" t="s">
        <v>163</v>
      </c>
      <c r="V2" s="29" t="s">
        <v>164</v>
      </c>
      <c r="W2" s="42"/>
      <c r="X2" s="42"/>
      <c r="Y2" s="42"/>
      <c r="Z2" s="42"/>
      <c r="AA2" s="42"/>
      <c r="AB2" s="42"/>
      <c r="AC2" s="42"/>
      <c r="AD2" s="42"/>
      <c r="AE2" s="49"/>
      <c r="AF2" s="50"/>
      <c r="AG2" s="49"/>
      <c r="AH2" s="50"/>
      <c r="AI2" s="49"/>
      <c r="AJ2" s="50"/>
      <c r="AK2" s="50"/>
      <c r="AL2" s="49"/>
      <c r="AM2" s="50"/>
      <c r="AN2" s="42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</row>
    <row r="3" spans="1:54" s="25" customFormat="1" x14ac:dyDescent="0.2">
      <c r="A3" s="29">
        <v>434</v>
      </c>
      <c r="B3" s="29" t="s">
        <v>79</v>
      </c>
      <c r="C3" s="29" t="s">
        <v>80</v>
      </c>
      <c r="D3" s="29" t="s">
        <v>18</v>
      </c>
      <c r="E3" s="29" t="s">
        <v>57</v>
      </c>
      <c r="F3" s="29" t="s">
        <v>58</v>
      </c>
      <c r="G3" s="39">
        <v>2</v>
      </c>
      <c r="H3" s="40" t="s">
        <v>22</v>
      </c>
      <c r="I3" s="40" t="s">
        <v>22</v>
      </c>
      <c r="J3" s="29" t="s">
        <v>45</v>
      </c>
      <c r="K3" s="28" t="s">
        <v>137</v>
      </c>
      <c r="L3" s="38">
        <v>7.76</v>
      </c>
      <c r="M3" s="28" t="s">
        <v>137</v>
      </c>
      <c r="N3" s="38">
        <v>5.819</v>
      </c>
      <c r="O3" s="28" t="s">
        <v>137</v>
      </c>
      <c r="P3" s="38">
        <v>2.4060000000000001</v>
      </c>
      <c r="Q3" s="38">
        <v>2.6309999999999998</v>
      </c>
      <c r="R3" s="28" t="s">
        <v>137</v>
      </c>
      <c r="S3" s="38">
        <v>11.401999999999999</v>
      </c>
      <c r="T3" s="29" t="s">
        <v>158</v>
      </c>
      <c r="U3" s="29" t="s">
        <v>164</v>
      </c>
      <c r="V3" s="29" t="s">
        <v>165</v>
      </c>
      <c r="W3" s="42"/>
      <c r="X3" s="42"/>
      <c r="Y3" s="42"/>
      <c r="Z3" s="42"/>
      <c r="AA3" s="42"/>
      <c r="AB3" s="42"/>
      <c r="AC3" s="42"/>
      <c r="AD3" s="42"/>
      <c r="AE3" s="49"/>
      <c r="AF3" s="50"/>
      <c r="AG3" s="49"/>
      <c r="AH3" s="50"/>
      <c r="AI3" s="49"/>
      <c r="AJ3" s="50"/>
      <c r="AK3" s="49"/>
      <c r="AL3" s="49"/>
      <c r="AM3" s="50"/>
      <c r="AN3" s="42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</row>
    <row r="4" spans="1:54" s="25" customFormat="1" x14ac:dyDescent="0.2">
      <c r="A4" s="29">
        <v>435</v>
      </c>
      <c r="B4" s="29" t="s">
        <v>79</v>
      </c>
      <c r="C4" s="29" t="s">
        <v>80</v>
      </c>
      <c r="D4" s="29" t="s">
        <v>18</v>
      </c>
      <c r="E4" s="29" t="s">
        <v>57</v>
      </c>
      <c r="F4" s="29" t="s">
        <v>58</v>
      </c>
      <c r="G4" s="41">
        <v>3</v>
      </c>
      <c r="H4" s="40" t="s">
        <v>22</v>
      </c>
      <c r="I4" s="40" t="s">
        <v>22</v>
      </c>
      <c r="J4" s="29" t="s">
        <v>46</v>
      </c>
      <c r="K4" s="28" t="s">
        <v>137</v>
      </c>
      <c r="L4" s="38">
        <v>7.6580000000000004</v>
      </c>
      <c r="M4" s="28" t="s">
        <v>137</v>
      </c>
      <c r="N4" s="38">
        <v>6.01</v>
      </c>
      <c r="O4" s="28" t="s">
        <v>137</v>
      </c>
      <c r="P4" s="38">
        <v>2.3919999999999999</v>
      </c>
      <c r="Q4" s="38">
        <v>2.496</v>
      </c>
      <c r="R4" s="28" t="s">
        <v>137</v>
      </c>
      <c r="S4" s="38">
        <v>10.82</v>
      </c>
      <c r="T4" s="29" t="s">
        <v>162</v>
      </c>
      <c r="U4" s="29" t="s">
        <v>165</v>
      </c>
      <c r="V4" s="29" t="s">
        <v>167</v>
      </c>
      <c r="W4" s="42"/>
      <c r="X4" s="42"/>
      <c r="Y4" s="42"/>
      <c r="Z4" s="42"/>
      <c r="AA4" s="42"/>
      <c r="AB4" s="42"/>
      <c r="AC4" s="42"/>
      <c r="AD4" s="42"/>
      <c r="AE4" s="49"/>
      <c r="AF4" s="50"/>
      <c r="AG4" s="49"/>
      <c r="AH4" s="50"/>
      <c r="AI4" s="49"/>
      <c r="AJ4" s="50"/>
      <c r="AK4" s="49"/>
      <c r="AL4" s="49"/>
      <c r="AM4" s="50"/>
      <c r="AN4" s="42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</row>
    <row r="5" spans="1:54" s="25" customFormat="1" x14ac:dyDescent="0.2">
      <c r="A5" s="29">
        <v>436</v>
      </c>
      <c r="B5" s="29" t="s">
        <v>79</v>
      </c>
      <c r="C5" s="29" t="s">
        <v>80</v>
      </c>
      <c r="D5" s="29" t="s">
        <v>18</v>
      </c>
      <c r="E5" s="29" t="s">
        <v>57</v>
      </c>
      <c r="F5" s="29" t="s">
        <v>58</v>
      </c>
      <c r="G5" s="36">
        <v>1</v>
      </c>
      <c r="H5" s="37" t="s">
        <v>21</v>
      </c>
      <c r="I5" s="37" t="s">
        <v>21</v>
      </c>
      <c r="J5" s="29" t="s">
        <v>50</v>
      </c>
      <c r="K5" s="28" t="s">
        <v>137</v>
      </c>
      <c r="L5" s="38">
        <v>7.3639999999999999</v>
      </c>
      <c r="M5" s="28" t="s">
        <v>137</v>
      </c>
      <c r="N5" s="38">
        <v>5.9720000000000004</v>
      </c>
      <c r="O5" s="28" t="s">
        <v>137</v>
      </c>
      <c r="P5" s="38">
        <v>3.1269999999999998</v>
      </c>
      <c r="Q5" s="38">
        <v>3.3460000000000001</v>
      </c>
      <c r="R5" s="28" t="s">
        <v>137</v>
      </c>
      <c r="S5" s="38">
        <v>11.629</v>
      </c>
      <c r="T5" s="29" t="s">
        <v>157</v>
      </c>
      <c r="U5" s="29" t="s">
        <v>163</v>
      </c>
      <c r="V5" s="29" t="s">
        <v>164</v>
      </c>
      <c r="W5" s="42"/>
      <c r="X5" s="42"/>
      <c r="Y5" s="42"/>
      <c r="Z5" s="42"/>
      <c r="AA5" s="42"/>
      <c r="AB5" s="42"/>
      <c r="AC5" s="42"/>
      <c r="AD5" s="42"/>
      <c r="AE5" s="49"/>
      <c r="AF5" s="50"/>
      <c r="AG5" s="49"/>
      <c r="AH5" s="50"/>
      <c r="AI5" s="49"/>
      <c r="AJ5" s="50"/>
      <c r="AK5" s="50"/>
      <c r="AL5" s="49"/>
      <c r="AM5" s="50"/>
      <c r="AN5" s="42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1:54" s="25" customFormat="1" x14ac:dyDescent="0.2">
      <c r="A6" s="29">
        <v>437</v>
      </c>
      <c r="B6" s="29" t="s">
        <v>79</v>
      </c>
      <c r="C6" s="29" t="s">
        <v>80</v>
      </c>
      <c r="D6" s="29" t="s">
        <v>18</v>
      </c>
      <c r="E6" s="29" t="s">
        <v>57</v>
      </c>
      <c r="F6" s="29" t="s">
        <v>58</v>
      </c>
      <c r="G6" s="39">
        <v>2</v>
      </c>
      <c r="H6" s="40" t="s">
        <v>22</v>
      </c>
      <c r="I6" s="40" t="s">
        <v>22</v>
      </c>
      <c r="J6" s="29" t="s">
        <v>38</v>
      </c>
      <c r="K6" s="28" t="s">
        <v>137</v>
      </c>
      <c r="L6" s="38">
        <v>8.4079999999999995</v>
      </c>
      <c r="M6" s="28" t="s">
        <v>137</v>
      </c>
      <c r="N6" s="38">
        <v>5.7640000000000002</v>
      </c>
      <c r="O6" s="28" t="s">
        <v>137</v>
      </c>
      <c r="P6" s="38">
        <v>2.7029999999999998</v>
      </c>
      <c r="Q6" s="38">
        <v>2.722</v>
      </c>
      <c r="R6" s="28" t="s">
        <v>137</v>
      </c>
      <c r="S6" s="38">
        <v>11.568</v>
      </c>
      <c r="T6" s="29" t="s">
        <v>158</v>
      </c>
      <c r="U6" s="29" t="s">
        <v>164</v>
      </c>
      <c r="V6" s="29" t="s">
        <v>165</v>
      </c>
      <c r="W6" s="42"/>
      <c r="X6" s="42"/>
      <c r="Y6" s="42"/>
      <c r="Z6" s="42"/>
      <c r="AA6" s="42"/>
      <c r="AB6" s="42"/>
      <c r="AC6" s="42"/>
      <c r="AD6" s="42"/>
      <c r="AE6" s="49"/>
      <c r="AF6" s="50"/>
      <c r="AG6" s="49"/>
      <c r="AH6" s="50"/>
      <c r="AI6" s="49"/>
      <c r="AJ6" s="50"/>
      <c r="AK6" s="50"/>
      <c r="AL6" s="49"/>
      <c r="AM6" s="50"/>
      <c r="AN6" s="42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1:54" s="25" customFormat="1" x14ac:dyDescent="0.2">
      <c r="A7" s="29">
        <v>438</v>
      </c>
      <c r="B7" s="29" t="s">
        <v>79</v>
      </c>
      <c r="C7" s="29" t="s">
        <v>80</v>
      </c>
      <c r="D7" s="29" t="s">
        <v>18</v>
      </c>
      <c r="E7" s="29" t="s">
        <v>57</v>
      </c>
      <c r="F7" s="29" t="s">
        <v>58</v>
      </c>
      <c r="G7" s="41">
        <v>3</v>
      </c>
      <c r="H7" s="40" t="s">
        <v>22</v>
      </c>
      <c r="I7" s="40" t="s">
        <v>22</v>
      </c>
      <c r="J7" s="29" t="s">
        <v>39</v>
      </c>
      <c r="K7" s="28" t="s">
        <v>137</v>
      </c>
      <c r="L7" s="38">
        <v>7.7409999999999997</v>
      </c>
      <c r="M7" s="28" t="s">
        <v>137</v>
      </c>
      <c r="N7" s="38">
        <v>6.2060000000000004</v>
      </c>
      <c r="O7" s="28" t="s">
        <v>137</v>
      </c>
      <c r="P7" s="38">
        <v>2.4969999999999999</v>
      </c>
      <c r="Q7" s="38">
        <v>2.621</v>
      </c>
      <c r="R7" s="28" t="s">
        <v>137</v>
      </c>
      <c r="S7" s="38">
        <v>11.109</v>
      </c>
      <c r="T7" s="29" t="s">
        <v>162</v>
      </c>
      <c r="U7" s="29" t="s">
        <v>165</v>
      </c>
      <c r="V7" s="29" t="s">
        <v>167</v>
      </c>
      <c r="W7" s="42"/>
      <c r="X7" s="42"/>
      <c r="Y7" s="42"/>
      <c r="Z7" s="42"/>
      <c r="AA7" s="42"/>
      <c r="AB7" s="42"/>
      <c r="AC7" s="42"/>
      <c r="AD7" s="42"/>
      <c r="AE7" s="49"/>
      <c r="AF7" s="50"/>
      <c r="AG7" s="49"/>
      <c r="AH7" s="50"/>
      <c r="AI7" s="49"/>
      <c r="AJ7" s="50"/>
      <c r="AK7" s="50"/>
      <c r="AL7" s="49"/>
      <c r="AM7" s="50"/>
      <c r="AN7" s="42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1:54" s="25" customFormat="1" x14ac:dyDescent="0.2">
      <c r="A8" s="29">
        <v>439</v>
      </c>
      <c r="B8" s="29" t="s">
        <v>79</v>
      </c>
      <c r="C8" s="29" t="s">
        <v>80</v>
      </c>
      <c r="D8" s="29" t="s">
        <v>18</v>
      </c>
      <c r="E8" s="29" t="s">
        <v>57</v>
      </c>
      <c r="F8" s="29" t="s">
        <v>58</v>
      </c>
      <c r="G8" s="41">
        <v>3</v>
      </c>
      <c r="H8" s="37" t="s">
        <v>21</v>
      </c>
      <c r="I8" s="37" t="s">
        <v>21</v>
      </c>
      <c r="J8" s="29" t="s">
        <v>33</v>
      </c>
      <c r="K8" s="28" t="s">
        <v>137</v>
      </c>
      <c r="L8" s="38">
        <v>7.1909999999999998</v>
      </c>
      <c r="M8" s="28" t="s">
        <v>137</v>
      </c>
      <c r="N8" s="38">
        <v>6.05</v>
      </c>
      <c r="O8" s="28" t="s">
        <v>137</v>
      </c>
      <c r="P8" s="38">
        <v>3.1139999999999999</v>
      </c>
      <c r="Q8" s="38">
        <v>3.6970000000000001</v>
      </c>
      <c r="R8" s="28" t="s">
        <v>137</v>
      </c>
      <c r="S8" s="38">
        <v>10.784000000000001</v>
      </c>
      <c r="T8" s="29" t="s">
        <v>159</v>
      </c>
      <c r="U8" s="29" t="s">
        <v>163</v>
      </c>
      <c r="V8" s="29" t="s">
        <v>166</v>
      </c>
      <c r="W8" s="42"/>
      <c r="X8" s="42"/>
      <c r="Y8" s="42"/>
      <c r="Z8" s="42"/>
      <c r="AA8" s="42"/>
      <c r="AB8" s="42"/>
      <c r="AC8" s="42"/>
      <c r="AD8" s="42"/>
      <c r="AE8" s="49"/>
      <c r="AF8" s="50"/>
      <c r="AG8" s="49"/>
      <c r="AH8" s="50"/>
      <c r="AI8" s="49"/>
      <c r="AJ8" s="50"/>
      <c r="AK8" s="50"/>
      <c r="AL8" s="49"/>
      <c r="AM8" s="50"/>
      <c r="AN8" s="42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1:54" s="25" customFormat="1" x14ac:dyDescent="0.2">
      <c r="A9" s="29">
        <v>440</v>
      </c>
      <c r="B9" s="29" t="s">
        <v>79</v>
      </c>
      <c r="C9" s="29" t="s">
        <v>80</v>
      </c>
      <c r="D9" s="29" t="s">
        <v>18</v>
      </c>
      <c r="E9" s="29" t="s">
        <v>57</v>
      </c>
      <c r="F9" s="29" t="s">
        <v>58</v>
      </c>
      <c r="G9" s="39">
        <v>2</v>
      </c>
      <c r="H9" s="37" t="s">
        <v>21</v>
      </c>
      <c r="I9" s="37" t="s">
        <v>21</v>
      </c>
      <c r="J9" s="29" t="s">
        <v>62</v>
      </c>
      <c r="K9" s="28" t="s">
        <v>137</v>
      </c>
      <c r="L9" s="38">
        <v>7.3159999999999998</v>
      </c>
      <c r="M9" s="28" t="s">
        <v>137</v>
      </c>
      <c r="N9" s="38">
        <v>5.6980000000000004</v>
      </c>
      <c r="O9" s="28" t="s">
        <v>137</v>
      </c>
      <c r="P9" s="38">
        <v>2.3450000000000002</v>
      </c>
      <c r="Q9" s="38">
        <v>2.415</v>
      </c>
      <c r="R9" s="28" t="s">
        <v>137</v>
      </c>
      <c r="S9" s="38">
        <v>10.96</v>
      </c>
      <c r="T9" s="29" t="s">
        <v>160</v>
      </c>
      <c r="U9" s="29" t="s">
        <v>166</v>
      </c>
      <c r="V9" s="29" t="s">
        <v>164</v>
      </c>
      <c r="W9" s="42"/>
      <c r="X9" s="42"/>
      <c r="Y9" s="42"/>
      <c r="Z9" s="42"/>
      <c r="AA9" s="42"/>
      <c r="AB9" s="42"/>
      <c r="AC9" s="42"/>
      <c r="AD9" s="42"/>
      <c r="AE9" s="49"/>
      <c r="AF9" s="50"/>
      <c r="AG9" s="49"/>
      <c r="AH9" s="50"/>
      <c r="AI9" s="49"/>
      <c r="AJ9" s="50"/>
      <c r="AK9" s="50"/>
      <c r="AL9" s="49"/>
      <c r="AM9" s="50"/>
      <c r="AN9" s="42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1:54" s="25" customFormat="1" x14ac:dyDescent="0.2">
      <c r="A10" s="29">
        <v>441</v>
      </c>
      <c r="B10" s="29" t="s">
        <v>79</v>
      </c>
      <c r="C10" s="29" t="s">
        <v>80</v>
      </c>
      <c r="D10" s="29" t="s">
        <v>18</v>
      </c>
      <c r="E10" s="29" t="s">
        <v>57</v>
      </c>
      <c r="F10" s="29" t="s">
        <v>58</v>
      </c>
      <c r="G10" s="36">
        <v>1</v>
      </c>
      <c r="H10" s="40" t="s">
        <v>22</v>
      </c>
      <c r="I10" s="40" t="s">
        <v>22</v>
      </c>
      <c r="J10" s="29" t="s">
        <v>63</v>
      </c>
      <c r="K10" s="28" t="s">
        <v>137</v>
      </c>
      <c r="L10" s="38">
        <v>7.7060000000000004</v>
      </c>
      <c r="M10" s="28" t="s">
        <v>137</v>
      </c>
      <c r="N10" s="38">
        <v>5.5949999999999998</v>
      </c>
      <c r="O10" s="28" t="s">
        <v>137</v>
      </c>
      <c r="P10" s="38">
        <v>2.359</v>
      </c>
      <c r="Q10" s="38">
        <v>2.4380000000000002</v>
      </c>
      <c r="R10" s="28" t="s">
        <v>137</v>
      </c>
      <c r="S10" s="38">
        <v>11.936</v>
      </c>
      <c r="T10" s="29" t="s">
        <v>161</v>
      </c>
      <c r="U10" s="29" t="s">
        <v>164</v>
      </c>
      <c r="V10" s="29" t="s">
        <v>167</v>
      </c>
      <c r="W10" s="42"/>
      <c r="X10" s="42"/>
      <c r="Y10" s="42"/>
      <c r="Z10" s="42"/>
      <c r="AA10" s="42"/>
      <c r="AB10" s="42"/>
      <c r="AC10" s="42"/>
      <c r="AD10" s="42"/>
      <c r="AE10" s="49"/>
      <c r="AF10" s="50"/>
      <c r="AG10" s="49"/>
      <c r="AH10" s="50"/>
      <c r="AI10" s="49"/>
      <c r="AJ10" s="50"/>
      <c r="AK10" s="50"/>
      <c r="AL10" s="49"/>
      <c r="AM10" s="50"/>
      <c r="AN10" s="42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1:54" s="25" customFormat="1" x14ac:dyDescent="0.2">
      <c r="A11" s="29">
        <v>442</v>
      </c>
      <c r="B11" s="29" t="s">
        <v>79</v>
      </c>
      <c r="C11" s="29" t="s">
        <v>80</v>
      </c>
      <c r="D11" s="29" t="s">
        <v>18</v>
      </c>
      <c r="E11" s="29" t="s">
        <v>57</v>
      </c>
      <c r="F11" s="29" t="s">
        <v>58</v>
      </c>
      <c r="G11" s="36">
        <v>1</v>
      </c>
      <c r="H11" s="37" t="s">
        <v>21</v>
      </c>
      <c r="I11" s="37" t="s">
        <v>21</v>
      </c>
      <c r="J11" s="29" t="s">
        <v>81</v>
      </c>
      <c r="K11" s="28" t="s">
        <v>137</v>
      </c>
      <c r="L11" s="38">
        <v>6.85</v>
      </c>
      <c r="M11" s="28" t="s">
        <v>137</v>
      </c>
      <c r="N11" s="38">
        <v>5.69</v>
      </c>
      <c r="O11" s="28" t="s">
        <v>137</v>
      </c>
      <c r="P11" s="38">
        <v>2.8580000000000001</v>
      </c>
      <c r="Q11" s="38">
        <v>3.2010000000000001</v>
      </c>
      <c r="R11" s="28" t="s">
        <v>137</v>
      </c>
      <c r="S11" s="38">
        <v>11.472</v>
      </c>
      <c r="T11" s="29" t="s">
        <v>157</v>
      </c>
      <c r="U11" s="29" t="s">
        <v>163</v>
      </c>
      <c r="V11" s="29" t="s">
        <v>164</v>
      </c>
      <c r="W11" s="42"/>
      <c r="X11" s="42"/>
      <c r="Y11" s="42"/>
      <c r="Z11" s="42"/>
      <c r="AA11" s="42"/>
      <c r="AB11" s="42"/>
      <c r="AC11" s="42"/>
      <c r="AD11" s="42"/>
      <c r="AE11" s="49"/>
      <c r="AF11" s="49"/>
      <c r="AG11" s="49"/>
      <c r="AH11" s="50"/>
      <c r="AI11" s="49"/>
      <c r="AJ11" s="50"/>
      <c r="AK11" s="50"/>
      <c r="AL11" s="49"/>
      <c r="AM11" s="50"/>
      <c r="AN11" s="42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1:54" s="25" customFormat="1" x14ac:dyDescent="0.2">
      <c r="A12" s="29">
        <v>443</v>
      </c>
      <c r="B12" s="29" t="s">
        <v>79</v>
      </c>
      <c r="C12" s="29" t="s">
        <v>80</v>
      </c>
      <c r="D12" s="29" t="s">
        <v>18</v>
      </c>
      <c r="E12" s="29" t="s">
        <v>57</v>
      </c>
      <c r="F12" s="29" t="s">
        <v>58</v>
      </c>
      <c r="G12" s="39">
        <v>2</v>
      </c>
      <c r="H12" s="40" t="s">
        <v>22</v>
      </c>
      <c r="I12" s="40" t="s">
        <v>22</v>
      </c>
      <c r="J12" s="29" t="s">
        <v>82</v>
      </c>
      <c r="K12" s="28" t="s">
        <v>137</v>
      </c>
      <c r="L12" s="38">
        <v>7.78</v>
      </c>
      <c r="M12" s="28" t="s">
        <v>137</v>
      </c>
      <c r="N12" s="38">
        <v>5.6470000000000002</v>
      </c>
      <c r="O12" s="28" t="s">
        <v>137</v>
      </c>
      <c r="P12" s="38">
        <v>2.37</v>
      </c>
      <c r="Q12" s="38">
        <v>2.5259999999999998</v>
      </c>
      <c r="R12" s="28" t="s">
        <v>137</v>
      </c>
      <c r="S12" s="38">
        <v>11.962999999999999</v>
      </c>
      <c r="T12" s="29" t="s">
        <v>158</v>
      </c>
      <c r="U12" s="29" t="s">
        <v>164</v>
      </c>
      <c r="V12" s="29" t="s">
        <v>165</v>
      </c>
      <c r="W12" s="42"/>
      <c r="X12" s="42"/>
      <c r="Y12" s="42"/>
      <c r="Z12" s="42"/>
      <c r="AA12" s="42"/>
      <c r="AB12" s="42"/>
      <c r="AC12" s="42"/>
      <c r="AD12" s="42"/>
      <c r="AE12" s="49"/>
      <c r="AF12" s="50"/>
      <c r="AG12" s="49"/>
      <c r="AH12" s="50"/>
      <c r="AI12" s="49"/>
      <c r="AJ12" s="50"/>
      <c r="AK12" s="50"/>
      <c r="AL12" s="49"/>
      <c r="AM12" s="50"/>
      <c r="AN12" s="42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1:54" s="25" customFormat="1" x14ac:dyDescent="0.2">
      <c r="A13" s="29">
        <v>444</v>
      </c>
      <c r="B13" s="29" t="s">
        <v>79</v>
      </c>
      <c r="C13" s="29" t="s">
        <v>80</v>
      </c>
      <c r="D13" s="29" t="s">
        <v>18</v>
      </c>
      <c r="E13" s="29" t="s">
        <v>57</v>
      </c>
      <c r="F13" s="29" t="s">
        <v>58</v>
      </c>
      <c r="G13" s="41">
        <v>3</v>
      </c>
      <c r="H13" s="40" t="s">
        <v>22</v>
      </c>
      <c r="I13" s="40" t="s">
        <v>22</v>
      </c>
      <c r="J13" s="29" t="s">
        <v>83</v>
      </c>
      <c r="K13" s="28" t="s">
        <v>137</v>
      </c>
      <c r="L13" s="38">
        <v>7.7750000000000004</v>
      </c>
      <c r="M13" s="28" t="s">
        <v>137</v>
      </c>
      <c r="N13" s="38">
        <v>6.0650000000000004</v>
      </c>
      <c r="O13" s="28" t="s">
        <v>137</v>
      </c>
      <c r="P13" s="38">
        <v>2.3969999999999998</v>
      </c>
      <c r="Q13" s="38">
        <v>2.5459999999999998</v>
      </c>
      <c r="R13" s="28" t="s">
        <v>137</v>
      </c>
      <c r="S13" s="38">
        <v>11.26</v>
      </c>
      <c r="T13" s="29" t="s">
        <v>162</v>
      </c>
      <c r="U13" s="29" t="s">
        <v>165</v>
      </c>
      <c r="V13" s="29" t="s">
        <v>167</v>
      </c>
      <c r="W13" s="42"/>
      <c r="X13" s="42"/>
      <c r="Y13" s="42"/>
      <c r="Z13" s="42"/>
      <c r="AA13" s="42"/>
      <c r="AB13" s="42"/>
      <c r="AC13" s="42"/>
      <c r="AD13" s="42"/>
      <c r="AE13" s="49"/>
      <c r="AF13" s="50"/>
      <c r="AG13" s="49"/>
      <c r="AH13" s="50"/>
      <c r="AI13" s="49"/>
      <c r="AJ13" s="50"/>
      <c r="AK13" s="50"/>
      <c r="AL13" s="49"/>
      <c r="AM13" s="50"/>
      <c r="AN13" s="42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1:54" s="26" customForma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47"/>
      <c r="L14" s="48"/>
      <c r="M14" s="47"/>
      <c r="N14" s="48"/>
      <c r="O14" s="47"/>
      <c r="P14" s="48"/>
      <c r="Q14" s="48"/>
      <c r="R14" s="47"/>
      <c r="S14" s="48"/>
      <c r="T14" s="29"/>
      <c r="U14" s="21"/>
      <c r="V14" s="21"/>
      <c r="W14" s="42"/>
      <c r="X14" s="42"/>
      <c r="Y14" s="42"/>
      <c r="Z14" s="42"/>
      <c r="AA14" s="42"/>
      <c r="AB14" s="42"/>
      <c r="AC14" s="42"/>
      <c r="AD14" s="42"/>
      <c r="AE14" s="49"/>
      <c r="AF14" s="50"/>
      <c r="AG14" s="49"/>
      <c r="AH14" s="50"/>
      <c r="AI14" s="49"/>
      <c r="AJ14" s="50"/>
      <c r="AK14" s="50"/>
      <c r="AL14" s="49"/>
      <c r="AM14" s="50"/>
      <c r="AN14" s="42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1:54" s="25" customFormat="1" x14ac:dyDescent="0.2">
      <c r="A15" s="29">
        <v>481</v>
      </c>
      <c r="B15" s="29" t="s">
        <v>74</v>
      </c>
      <c r="C15" s="29" t="s">
        <v>75</v>
      </c>
      <c r="D15" s="29" t="s">
        <v>18</v>
      </c>
      <c r="E15" s="29" t="s">
        <v>70</v>
      </c>
      <c r="F15" s="29" t="s">
        <v>71</v>
      </c>
      <c r="G15" s="36">
        <v>1</v>
      </c>
      <c r="H15" s="37" t="s">
        <v>21</v>
      </c>
      <c r="I15" s="37" t="s">
        <v>21</v>
      </c>
      <c r="J15" s="29" t="s">
        <v>24</v>
      </c>
      <c r="K15" s="28" t="s">
        <v>137</v>
      </c>
      <c r="L15" s="38">
        <v>7.1760000000000002</v>
      </c>
      <c r="M15" s="28" t="s">
        <v>137</v>
      </c>
      <c r="N15" s="38">
        <v>6</v>
      </c>
      <c r="O15" s="28" t="s">
        <v>137</v>
      </c>
      <c r="P15" s="38">
        <v>2.9369999999999998</v>
      </c>
      <c r="Q15" s="38">
        <v>3.34</v>
      </c>
      <c r="R15" s="28" t="s">
        <v>137</v>
      </c>
      <c r="S15" s="38">
        <v>11.051</v>
      </c>
      <c r="T15" s="29" t="s">
        <v>157</v>
      </c>
      <c r="U15" s="29" t="s">
        <v>163</v>
      </c>
      <c r="V15" s="29" t="s">
        <v>164</v>
      </c>
      <c r="W15" s="42"/>
      <c r="X15" s="42"/>
      <c r="Y15" s="42"/>
      <c r="Z15" s="42"/>
      <c r="AA15" s="42"/>
      <c r="AB15" s="42"/>
      <c r="AC15" s="42"/>
      <c r="AD15" s="42"/>
      <c r="AE15" s="49"/>
      <c r="AF15" s="50"/>
      <c r="AG15" s="49"/>
      <c r="AH15" s="50"/>
      <c r="AI15" s="49"/>
      <c r="AJ15" s="50"/>
      <c r="AK15" s="50"/>
      <c r="AL15" s="49"/>
      <c r="AM15" s="50"/>
      <c r="AN15" s="42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1:54" s="25" customFormat="1" x14ac:dyDescent="0.2">
      <c r="A16" s="29">
        <v>482</v>
      </c>
      <c r="B16" s="29" t="s">
        <v>74</v>
      </c>
      <c r="C16" s="29" t="s">
        <v>75</v>
      </c>
      <c r="D16" s="29" t="s">
        <v>18</v>
      </c>
      <c r="E16" s="29" t="s">
        <v>70</v>
      </c>
      <c r="F16" s="29" t="s">
        <v>71</v>
      </c>
      <c r="G16" s="39">
        <v>2</v>
      </c>
      <c r="H16" s="40" t="s">
        <v>22</v>
      </c>
      <c r="I16" s="40" t="s">
        <v>22</v>
      </c>
      <c r="J16" s="29" t="s">
        <v>45</v>
      </c>
      <c r="K16" s="28" t="s">
        <v>137</v>
      </c>
      <c r="L16" s="38">
        <v>7.899</v>
      </c>
      <c r="M16" s="28" t="s">
        <v>137</v>
      </c>
      <c r="N16" s="38">
        <v>5.7450000000000001</v>
      </c>
      <c r="O16" s="28" t="s">
        <v>137</v>
      </c>
      <c r="P16" s="38">
        <v>2.548</v>
      </c>
      <c r="Q16" s="38">
        <v>2.6640000000000001</v>
      </c>
      <c r="R16" s="28" t="s">
        <v>137</v>
      </c>
      <c r="S16" s="38">
        <v>11.247999999999999</v>
      </c>
      <c r="T16" s="29" t="s">
        <v>158</v>
      </c>
      <c r="U16" s="29" t="s">
        <v>164</v>
      </c>
      <c r="V16" s="29" t="s">
        <v>165</v>
      </c>
      <c r="W16" s="42"/>
      <c r="X16" s="42"/>
      <c r="Y16" s="42"/>
      <c r="Z16" s="42"/>
      <c r="AA16" s="42"/>
      <c r="AB16" s="42"/>
      <c r="AC16" s="42"/>
      <c r="AD16" s="42"/>
      <c r="AE16" s="49"/>
      <c r="AF16" s="50"/>
      <c r="AG16" s="49"/>
      <c r="AH16" s="50"/>
      <c r="AI16" s="49"/>
      <c r="AJ16" s="50"/>
      <c r="AK16" s="50"/>
      <c r="AL16" s="49"/>
      <c r="AM16" s="50"/>
      <c r="AN16" s="42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25" customFormat="1" x14ac:dyDescent="0.2">
      <c r="A17" s="29">
        <v>483</v>
      </c>
      <c r="B17" s="29" t="s">
        <v>74</v>
      </c>
      <c r="C17" s="29" t="s">
        <v>75</v>
      </c>
      <c r="D17" s="29" t="s">
        <v>18</v>
      </c>
      <c r="E17" s="29" t="s">
        <v>70</v>
      </c>
      <c r="F17" s="29" t="s">
        <v>71</v>
      </c>
      <c r="G17" s="41">
        <v>3</v>
      </c>
      <c r="H17" s="40" t="s">
        <v>22</v>
      </c>
      <c r="I17" s="40" t="s">
        <v>22</v>
      </c>
      <c r="J17" s="29" t="s">
        <v>46</v>
      </c>
      <c r="K17" s="28" t="s">
        <v>137</v>
      </c>
      <c r="L17" s="38">
        <v>7.77</v>
      </c>
      <c r="M17" s="28" t="s">
        <v>137</v>
      </c>
      <c r="N17" s="38">
        <v>6.3109999999999999</v>
      </c>
      <c r="O17" s="28" t="s">
        <v>137</v>
      </c>
      <c r="P17" s="38">
        <v>2.5539999999999998</v>
      </c>
      <c r="Q17" s="38">
        <v>2.6659999999999999</v>
      </c>
      <c r="R17" s="28" t="s">
        <v>137</v>
      </c>
      <c r="S17" s="38">
        <v>10.808</v>
      </c>
      <c r="T17" s="29" t="s">
        <v>162</v>
      </c>
      <c r="U17" s="29" t="s">
        <v>165</v>
      </c>
      <c r="V17" s="29" t="s">
        <v>167</v>
      </c>
      <c r="W17" s="42"/>
      <c r="X17" s="42"/>
      <c r="Y17" s="42"/>
      <c r="Z17" s="42"/>
      <c r="AA17" s="42"/>
      <c r="AB17" s="42"/>
      <c r="AC17" s="42"/>
      <c r="AD17" s="42"/>
      <c r="AE17" s="49"/>
      <c r="AF17" s="50"/>
      <c r="AG17" s="49"/>
      <c r="AH17" s="50"/>
      <c r="AI17" s="49"/>
      <c r="AJ17" s="50"/>
      <c r="AK17" s="50"/>
      <c r="AL17" s="49"/>
      <c r="AM17" s="50"/>
      <c r="AN17" s="42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25" customFormat="1" x14ac:dyDescent="0.2">
      <c r="A18" s="29">
        <v>484</v>
      </c>
      <c r="B18" s="29" t="s">
        <v>74</v>
      </c>
      <c r="C18" s="29" t="s">
        <v>75</v>
      </c>
      <c r="D18" s="29" t="s">
        <v>18</v>
      </c>
      <c r="E18" s="29" t="s">
        <v>70</v>
      </c>
      <c r="F18" s="29" t="s">
        <v>71</v>
      </c>
      <c r="G18" s="36">
        <v>1</v>
      </c>
      <c r="H18" s="37" t="s">
        <v>21</v>
      </c>
      <c r="I18" s="37" t="s">
        <v>21</v>
      </c>
      <c r="J18" s="29" t="s">
        <v>27</v>
      </c>
      <c r="K18" s="28" t="s">
        <v>137</v>
      </c>
      <c r="L18" s="38">
        <v>7.4279999999999999</v>
      </c>
      <c r="M18" s="28" t="s">
        <v>137</v>
      </c>
      <c r="N18" s="38">
        <v>5.9950000000000001</v>
      </c>
      <c r="O18" s="28" t="s">
        <v>137</v>
      </c>
      <c r="P18" s="38">
        <v>2.988</v>
      </c>
      <c r="Q18" s="38">
        <v>3.444</v>
      </c>
      <c r="R18" s="28" t="s">
        <v>137</v>
      </c>
      <c r="S18" s="38">
        <v>11.318</v>
      </c>
      <c r="T18" s="29" t="s">
        <v>157</v>
      </c>
      <c r="U18" s="29" t="s">
        <v>163</v>
      </c>
      <c r="V18" s="29" t="s">
        <v>164</v>
      </c>
      <c r="W18" s="42"/>
      <c r="X18" s="42"/>
      <c r="Y18" s="42"/>
      <c r="Z18" s="42"/>
      <c r="AA18" s="42"/>
      <c r="AB18" s="42"/>
      <c r="AC18" s="42"/>
      <c r="AD18" s="42"/>
      <c r="AE18" s="49"/>
      <c r="AF18" s="50"/>
      <c r="AG18" s="49"/>
      <c r="AH18" s="50"/>
      <c r="AI18" s="49"/>
      <c r="AJ18" s="50"/>
      <c r="AK18" s="50"/>
      <c r="AL18" s="49"/>
      <c r="AM18" s="50"/>
      <c r="AN18" s="42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25" customFormat="1" x14ac:dyDescent="0.2">
      <c r="A19" s="29">
        <v>485</v>
      </c>
      <c r="B19" s="29" t="s">
        <v>74</v>
      </c>
      <c r="C19" s="29" t="s">
        <v>75</v>
      </c>
      <c r="D19" s="29" t="s">
        <v>18</v>
      </c>
      <c r="E19" s="29" t="s">
        <v>70</v>
      </c>
      <c r="F19" s="29" t="s">
        <v>71</v>
      </c>
      <c r="G19" s="39">
        <v>2</v>
      </c>
      <c r="H19" s="40" t="s">
        <v>22</v>
      </c>
      <c r="I19" s="40" t="s">
        <v>22</v>
      </c>
      <c r="J19" s="29" t="s">
        <v>50</v>
      </c>
      <c r="K19" s="28" t="s">
        <v>137</v>
      </c>
      <c r="L19" s="38">
        <v>8.0570000000000004</v>
      </c>
      <c r="M19" s="28" t="s">
        <v>137</v>
      </c>
      <c r="N19" s="38">
        <v>5.6559999999999997</v>
      </c>
      <c r="O19" s="28" t="s">
        <v>137</v>
      </c>
      <c r="P19" s="38">
        <v>2.6259999999999999</v>
      </c>
      <c r="Q19" s="38">
        <v>2.6259999999999999</v>
      </c>
      <c r="R19" s="28" t="s">
        <v>137</v>
      </c>
      <c r="S19" s="38">
        <v>11.803000000000001</v>
      </c>
      <c r="T19" s="29" t="s">
        <v>158</v>
      </c>
      <c r="U19" s="29" t="s">
        <v>164</v>
      </c>
      <c r="V19" s="29" t="s">
        <v>165</v>
      </c>
      <c r="W19" s="42"/>
      <c r="X19" s="42"/>
      <c r="Y19" s="42"/>
      <c r="Z19" s="42"/>
      <c r="AA19" s="42"/>
      <c r="AB19" s="42"/>
      <c r="AC19" s="42"/>
      <c r="AD19" s="42"/>
      <c r="AE19" s="49"/>
      <c r="AF19" s="50"/>
      <c r="AG19" s="49"/>
      <c r="AH19" s="50"/>
      <c r="AI19" s="49"/>
      <c r="AJ19" s="50"/>
      <c r="AK19" s="50"/>
      <c r="AL19" s="49"/>
      <c r="AM19" s="50"/>
      <c r="AN19" s="42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25" customFormat="1" x14ac:dyDescent="0.2">
      <c r="A20" s="29">
        <v>486</v>
      </c>
      <c r="B20" s="29" t="s">
        <v>74</v>
      </c>
      <c r="C20" s="29" t="s">
        <v>75</v>
      </c>
      <c r="D20" s="29" t="s">
        <v>18</v>
      </c>
      <c r="E20" s="29" t="s">
        <v>70</v>
      </c>
      <c r="F20" s="29" t="s">
        <v>71</v>
      </c>
      <c r="G20" s="41">
        <v>3</v>
      </c>
      <c r="H20" s="40" t="s">
        <v>22</v>
      </c>
      <c r="I20" s="40" t="s">
        <v>22</v>
      </c>
      <c r="J20" s="29" t="s">
        <v>38</v>
      </c>
      <c r="K20" s="28" t="s">
        <v>137</v>
      </c>
      <c r="L20" s="38">
        <v>7.931</v>
      </c>
      <c r="M20" s="28" t="s">
        <v>137</v>
      </c>
      <c r="N20" s="38">
        <v>6.282</v>
      </c>
      <c r="O20" s="28" t="s">
        <v>137</v>
      </c>
      <c r="P20" s="38">
        <v>2.5409999999999999</v>
      </c>
      <c r="Q20" s="38">
        <v>2.6640000000000001</v>
      </c>
      <c r="R20" s="28" t="s">
        <v>137</v>
      </c>
      <c r="S20" s="38">
        <v>11.124000000000001</v>
      </c>
      <c r="T20" s="29" t="s">
        <v>162</v>
      </c>
      <c r="U20" s="29" t="s">
        <v>165</v>
      </c>
      <c r="V20" s="29" t="s">
        <v>167</v>
      </c>
      <c r="W20" s="42"/>
      <c r="X20" s="42"/>
      <c r="Y20" s="42"/>
      <c r="Z20" s="42"/>
      <c r="AA20" s="42"/>
      <c r="AB20" s="42"/>
      <c r="AC20" s="42"/>
      <c r="AD20" s="42"/>
      <c r="AE20" s="49"/>
      <c r="AF20" s="50"/>
      <c r="AG20" s="49"/>
      <c r="AH20" s="50"/>
      <c r="AI20" s="49"/>
      <c r="AJ20" s="50"/>
      <c r="AK20" s="50"/>
      <c r="AL20" s="49"/>
      <c r="AM20" s="50"/>
      <c r="AN20" s="42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25" customFormat="1" x14ac:dyDescent="0.2">
      <c r="A21" s="29">
        <v>487</v>
      </c>
      <c r="B21" s="29" t="s">
        <v>74</v>
      </c>
      <c r="C21" s="29" t="s">
        <v>75</v>
      </c>
      <c r="D21" s="29" t="s">
        <v>18</v>
      </c>
      <c r="E21" s="29" t="s">
        <v>70</v>
      </c>
      <c r="F21" s="29" t="s">
        <v>71</v>
      </c>
      <c r="G21" s="41">
        <v>3</v>
      </c>
      <c r="H21" s="37" t="s">
        <v>21</v>
      </c>
      <c r="I21" s="37" t="s">
        <v>21</v>
      </c>
      <c r="J21" s="29" t="s">
        <v>51</v>
      </c>
      <c r="K21" s="28" t="s">
        <v>137</v>
      </c>
      <c r="L21" s="38">
        <v>7.4429999999999996</v>
      </c>
      <c r="M21" s="28" t="s">
        <v>137</v>
      </c>
      <c r="N21" s="38">
        <v>6.0990000000000002</v>
      </c>
      <c r="O21" s="28" t="s">
        <v>137</v>
      </c>
      <c r="P21" s="38">
        <v>3.03</v>
      </c>
      <c r="Q21" s="38">
        <v>3.5590000000000002</v>
      </c>
      <c r="R21" s="28" t="s">
        <v>137</v>
      </c>
      <c r="S21" s="38">
        <v>11.262</v>
      </c>
      <c r="T21" s="29" t="s">
        <v>159</v>
      </c>
      <c r="U21" s="29" t="s">
        <v>163</v>
      </c>
      <c r="V21" s="29" t="s">
        <v>166</v>
      </c>
      <c r="W21" s="42"/>
      <c r="X21" s="42"/>
      <c r="Y21" s="42"/>
      <c r="Z21" s="42"/>
      <c r="AA21" s="42"/>
      <c r="AB21" s="42"/>
      <c r="AC21" s="42"/>
      <c r="AD21" s="42"/>
      <c r="AE21" s="49"/>
      <c r="AF21" s="50"/>
      <c r="AG21" s="49"/>
      <c r="AH21" s="50"/>
      <c r="AI21" s="49"/>
      <c r="AJ21" s="50"/>
      <c r="AK21" s="50"/>
      <c r="AL21" s="49"/>
      <c r="AM21" s="50"/>
      <c r="AN21" s="42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25" customFormat="1" x14ac:dyDescent="0.2">
      <c r="A22" s="29">
        <v>488</v>
      </c>
      <c r="B22" s="29" t="s">
        <v>74</v>
      </c>
      <c r="C22" s="29" t="s">
        <v>75</v>
      </c>
      <c r="D22" s="29" t="s">
        <v>18</v>
      </c>
      <c r="E22" s="29" t="s">
        <v>70</v>
      </c>
      <c r="F22" s="29" t="s">
        <v>71</v>
      </c>
      <c r="G22" s="39">
        <v>2</v>
      </c>
      <c r="H22" s="37" t="s">
        <v>21</v>
      </c>
      <c r="I22" s="37" t="s">
        <v>21</v>
      </c>
      <c r="J22" s="29" t="s">
        <v>41</v>
      </c>
      <c r="K22" s="28" t="s">
        <v>137</v>
      </c>
      <c r="L22" s="38">
        <v>7.399</v>
      </c>
      <c r="M22" s="28" t="s">
        <v>137</v>
      </c>
      <c r="N22" s="38">
        <v>5.819</v>
      </c>
      <c r="O22" s="28" t="s">
        <v>137</v>
      </c>
      <c r="P22" s="38">
        <v>2.5739999999999998</v>
      </c>
      <c r="Q22" s="38">
        <v>2.6230000000000002</v>
      </c>
      <c r="R22" s="28" t="s">
        <v>137</v>
      </c>
      <c r="S22" s="38">
        <v>11.058</v>
      </c>
      <c r="T22" s="29" t="s">
        <v>160</v>
      </c>
      <c r="U22" s="29" t="s">
        <v>166</v>
      </c>
      <c r="V22" s="29" t="s">
        <v>164</v>
      </c>
      <c r="W22" s="42"/>
      <c r="X22" s="42"/>
      <c r="Y22" s="42"/>
      <c r="Z22" s="42"/>
      <c r="AA22" s="42"/>
      <c r="AB22" s="42"/>
      <c r="AC22" s="42"/>
      <c r="AD22" s="42"/>
      <c r="AE22" s="49"/>
      <c r="AF22" s="50"/>
      <c r="AG22" s="49"/>
      <c r="AH22" s="50"/>
      <c r="AI22" s="49"/>
      <c r="AJ22" s="50"/>
      <c r="AK22" s="50"/>
      <c r="AL22" s="49"/>
      <c r="AM22" s="50"/>
      <c r="AN22" s="42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25" customFormat="1" x14ac:dyDescent="0.2">
      <c r="A23" s="29">
        <v>489</v>
      </c>
      <c r="B23" s="29" t="s">
        <v>74</v>
      </c>
      <c r="C23" s="29" t="s">
        <v>75</v>
      </c>
      <c r="D23" s="29" t="s">
        <v>18</v>
      </c>
      <c r="E23" s="29" t="s">
        <v>70</v>
      </c>
      <c r="F23" s="29" t="s">
        <v>71</v>
      </c>
      <c r="G23" s="36">
        <v>1</v>
      </c>
      <c r="H23" s="40" t="s">
        <v>22</v>
      </c>
      <c r="I23" s="40" t="s">
        <v>22</v>
      </c>
      <c r="J23" s="29" t="s">
        <v>28</v>
      </c>
      <c r="K23" s="28" t="s">
        <v>137</v>
      </c>
      <c r="L23" s="38">
        <v>8.1609999999999996</v>
      </c>
      <c r="M23" s="28" t="s">
        <v>137</v>
      </c>
      <c r="N23" s="38">
        <v>6.0270000000000001</v>
      </c>
      <c r="O23" s="28" t="s">
        <v>137</v>
      </c>
      <c r="P23" s="38">
        <v>2.3079999999999998</v>
      </c>
      <c r="Q23" s="38">
        <v>2.6339999999999999</v>
      </c>
      <c r="R23" s="28" t="s">
        <v>137</v>
      </c>
      <c r="S23" s="38">
        <v>11.37</v>
      </c>
      <c r="T23" s="29" t="s">
        <v>161</v>
      </c>
      <c r="U23" s="29" t="s">
        <v>164</v>
      </c>
      <c r="V23" s="29" t="s">
        <v>167</v>
      </c>
      <c r="W23" s="42"/>
      <c r="X23" s="42"/>
      <c r="Y23" s="42"/>
      <c r="Z23" s="42"/>
      <c r="AA23" s="42"/>
      <c r="AB23" s="42"/>
      <c r="AC23" s="42"/>
      <c r="AD23" s="42"/>
      <c r="AE23" s="49"/>
      <c r="AF23" s="50"/>
      <c r="AG23" s="49"/>
      <c r="AH23" s="50"/>
      <c r="AI23" s="49"/>
      <c r="AJ23" s="50"/>
      <c r="AK23" s="49"/>
      <c r="AL23" s="49"/>
      <c r="AM23" s="50"/>
      <c r="AN23" s="42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1:54" s="25" customFormat="1" x14ac:dyDescent="0.2">
      <c r="A24" s="29">
        <v>490</v>
      </c>
      <c r="B24" s="29" t="s">
        <v>74</v>
      </c>
      <c r="C24" s="29" t="s">
        <v>75</v>
      </c>
      <c r="D24" s="29" t="s">
        <v>18</v>
      </c>
      <c r="E24" s="29" t="s">
        <v>70</v>
      </c>
      <c r="F24" s="29" t="s">
        <v>71</v>
      </c>
      <c r="G24" s="36">
        <v>1</v>
      </c>
      <c r="H24" s="37" t="s">
        <v>21</v>
      </c>
      <c r="I24" s="37" t="s">
        <v>21</v>
      </c>
      <c r="J24" s="29" t="s">
        <v>31</v>
      </c>
      <c r="K24" s="28" t="s">
        <v>137</v>
      </c>
      <c r="L24" s="38">
        <v>7.367</v>
      </c>
      <c r="M24" s="28" t="s">
        <v>137</v>
      </c>
      <c r="N24" s="38">
        <v>6.0449999999999999</v>
      </c>
      <c r="O24" s="28" t="s">
        <v>137</v>
      </c>
      <c r="P24" s="38">
        <v>3</v>
      </c>
      <c r="Q24" s="38">
        <v>3.8330000000000002</v>
      </c>
      <c r="R24" s="28" t="s">
        <v>137</v>
      </c>
      <c r="S24" s="38">
        <v>11.226000000000001</v>
      </c>
      <c r="T24" s="29" t="s">
        <v>157</v>
      </c>
      <c r="U24" s="29" t="s">
        <v>163</v>
      </c>
      <c r="V24" s="29" t="s">
        <v>164</v>
      </c>
      <c r="W24" s="42"/>
      <c r="X24" s="42"/>
      <c r="Y24" s="42"/>
      <c r="Z24" s="42"/>
      <c r="AA24" s="42"/>
      <c r="AB24" s="42"/>
      <c r="AC24" s="42"/>
      <c r="AD24" s="42"/>
      <c r="AE24" s="49"/>
      <c r="AF24" s="50"/>
      <c r="AG24" s="49"/>
      <c r="AH24" s="50"/>
      <c r="AI24" s="49"/>
      <c r="AJ24" s="50"/>
      <c r="AK24" s="49"/>
      <c r="AL24" s="49"/>
      <c r="AM24" s="50"/>
      <c r="AN24" s="42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1:54" s="25" customFormat="1" x14ac:dyDescent="0.2">
      <c r="A25" s="29">
        <v>491</v>
      </c>
      <c r="B25" s="29" t="s">
        <v>74</v>
      </c>
      <c r="C25" s="29" t="s">
        <v>75</v>
      </c>
      <c r="D25" s="29" t="s">
        <v>18</v>
      </c>
      <c r="E25" s="29" t="s">
        <v>70</v>
      </c>
      <c r="F25" s="29" t="s">
        <v>71</v>
      </c>
      <c r="G25" s="39">
        <v>2</v>
      </c>
      <c r="H25" s="40" t="s">
        <v>22</v>
      </c>
      <c r="I25" s="40" t="s">
        <v>22</v>
      </c>
      <c r="J25" s="29" t="s">
        <v>32</v>
      </c>
      <c r="K25" s="28" t="s">
        <v>137</v>
      </c>
      <c r="L25" s="38">
        <v>8.0120000000000005</v>
      </c>
      <c r="M25" s="28" t="s">
        <v>137</v>
      </c>
      <c r="N25" s="38">
        <v>5.8159999999999998</v>
      </c>
      <c r="O25" s="28" t="s">
        <v>137</v>
      </c>
      <c r="P25" s="38">
        <v>2.5640000000000001</v>
      </c>
      <c r="Q25" s="38">
        <v>2.7549999999999999</v>
      </c>
      <c r="R25" s="28" t="s">
        <v>137</v>
      </c>
      <c r="S25" s="38">
        <v>11.058</v>
      </c>
      <c r="T25" s="29" t="s">
        <v>158</v>
      </c>
      <c r="U25" s="29" t="s">
        <v>164</v>
      </c>
      <c r="V25" s="29" t="s">
        <v>165</v>
      </c>
      <c r="W25" s="42"/>
      <c r="X25" s="42"/>
      <c r="Y25" s="42"/>
      <c r="Z25" s="42"/>
      <c r="AA25" s="42"/>
      <c r="AB25" s="42"/>
      <c r="AC25" s="42"/>
      <c r="AD25" s="42"/>
      <c r="AE25" s="49"/>
      <c r="AF25" s="50"/>
      <c r="AG25" s="49"/>
      <c r="AH25" s="50"/>
      <c r="AI25" s="49"/>
      <c r="AJ25" s="50"/>
      <c r="AK25" s="50"/>
      <c r="AL25" s="49"/>
      <c r="AM25" s="50"/>
      <c r="AN25" s="42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1:54" s="25" customFormat="1" x14ac:dyDescent="0.2">
      <c r="A26" s="29">
        <v>492</v>
      </c>
      <c r="B26" s="29" t="s">
        <v>74</v>
      </c>
      <c r="C26" s="29" t="s">
        <v>75</v>
      </c>
      <c r="D26" s="29" t="s">
        <v>18</v>
      </c>
      <c r="E26" s="29" t="s">
        <v>70</v>
      </c>
      <c r="F26" s="29" t="s">
        <v>71</v>
      </c>
      <c r="G26" s="41">
        <v>3</v>
      </c>
      <c r="H26" s="40" t="s">
        <v>22</v>
      </c>
      <c r="I26" s="40" t="s">
        <v>22</v>
      </c>
      <c r="J26" s="29" t="s">
        <v>33</v>
      </c>
      <c r="K26" s="28" t="s">
        <v>137</v>
      </c>
      <c r="L26" s="38">
        <v>7.35</v>
      </c>
      <c r="M26" s="28" t="s">
        <v>137</v>
      </c>
      <c r="N26" s="38">
        <v>5.8239999999999998</v>
      </c>
      <c r="O26" s="28" t="s">
        <v>137</v>
      </c>
      <c r="P26" s="38">
        <v>2.1739999999999999</v>
      </c>
      <c r="Q26" s="38">
        <v>2.5550000000000002</v>
      </c>
      <c r="R26" s="28" t="s">
        <v>137</v>
      </c>
      <c r="S26" s="38">
        <v>10.484</v>
      </c>
      <c r="T26" s="29" t="s">
        <v>162</v>
      </c>
      <c r="U26" s="29" t="s">
        <v>165</v>
      </c>
      <c r="V26" s="29" t="s">
        <v>167</v>
      </c>
      <c r="W26" s="42"/>
      <c r="X26" s="42"/>
      <c r="Y26" s="42"/>
      <c r="Z26" s="42"/>
      <c r="AA26" s="42"/>
      <c r="AB26" s="42"/>
      <c r="AC26" s="42"/>
      <c r="AD26" s="42"/>
      <c r="AE26" s="49"/>
      <c r="AF26" s="50"/>
      <c r="AG26" s="49"/>
      <c r="AH26" s="50"/>
      <c r="AI26" s="49"/>
      <c r="AJ26" s="50"/>
      <c r="AK26" s="50"/>
      <c r="AL26" s="49"/>
      <c r="AM26" s="50"/>
      <c r="AN26" s="42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1:54" s="26" customForma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47"/>
      <c r="L27" s="48"/>
      <c r="M27" s="47"/>
      <c r="N27" s="48"/>
      <c r="O27" s="47"/>
      <c r="P27" s="48"/>
      <c r="Q27" s="48"/>
      <c r="R27" s="47"/>
      <c r="S27" s="48"/>
      <c r="T27" s="29"/>
      <c r="U27" s="21"/>
      <c r="V27" s="21"/>
      <c r="W27" s="42"/>
      <c r="X27" s="42"/>
      <c r="Y27" s="42"/>
      <c r="Z27" s="42"/>
      <c r="AA27" s="42"/>
      <c r="AB27" s="42"/>
      <c r="AC27" s="42"/>
      <c r="AD27" s="42"/>
      <c r="AE27" s="49"/>
      <c r="AF27" s="50"/>
      <c r="AG27" s="49"/>
      <c r="AH27" s="50"/>
      <c r="AI27" s="49"/>
      <c r="AJ27" s="50"/>
      <c r="AK27" s="50"/>
      <c r="AL27" s="49"/>
      <c r="AM27" s="50"/>
      <c r="AN27" s="42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1:54" s="25" customFormat="1" x14ac:dyDescent="0.15">
      <c r="A28" s="29">
        <v>493</v>
      </c>
      <c r="B28" s="29" t="s">
        <v>147</v>
      </c>
      <c r="C28" s="29" t="s">
        <v>87</v>
      </c>
      <c r="D28" s="29" t="s">
        <v>18</v>
      </c>
      <c r="E28" s="29" t="s">
        <v>70</v>
      </c>
      <c r="F28" s="29" t="s">
        <v>71</v>
      </c>
      <c r="G28" s="36">
        <v>1</v>
      </c>
      <c r="H28" s="37" t="s">
        <v>21</v>
      </c>
      <c r="I28" s="37" t="s">
        <v>21</v>
      </c>
      <c r="J28" s="29" t="s">
        <v>45</v>
      </c>
      <c r="K28" s="28" t="s">
        <v>137</v>
      </c>
      <c r="L28" s="1">
        <v>6.8</v>
      </c>
      <c r="M28" s="28" t="s">
        <v>137</v>
      </c>
      <c r="N28" s="1">
        <v>5.56</v>
      </c>
      <c r="O28" s="28" t="s">
        <v>137</v>
      </c>
      <c r="P28" s="29">
        <v>2.52</v>
      </c>
      <c r="Q28" s="29">
        <v>2.9</v>
      </c>
      <c r="R28" s="28" t="s">
        <v>137</v>
      </c>
      <c r="S28" s="27">
        <v>10.84</v>
      </c>
      <c r="T28" s="29" t="s">
        <v>157</v>
      </c>
      <c r="U28" s="29" t="s">
        <v>163</v>
      </c>
      <c r="V28" s="29" t="s">
        <v>164</v>
      </c>
      <c r="W28" s="42"/>
      <c r="X28" s="42"/>
      <c r="Y28" s="54"/>
      <c r="Z28" s="42"/>
      <c r="AA28" s="42"/>
      <c r="AB28" s="42"/>
      <c r="AC28" s="42"/>
      <c r="AD28" s="42"/>
      <c r="AE28" s="49"/>
      <c r="AF28" s="50"/>
      <c r="AG28" s="49"/>
      <c r="AH28" s="50"/>
      <c r="AI28" s="49"/>
      <c r="AJ28" s="50"/>
      <c r="AK28" s="50"/>
      <c r="AL28" s="49"/>
      <c r="AM28" s="50"/>
      <c r="AN28" s="42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1:54" s="25" customFormat="1" x14ac:dyDescent="0.15">
      <c r="A29" s="29">
        <v>494</v>
      </c>
      <c r="B29" s="29" t="s">
        <v>147</v>
      </c>
      <c r="C29" s="29" t="s">
        <v>87</v>
      </c>
      <c r="D29" s="29" t="s">
        <v>18</v>
      </c>
      <c r="E29" s="29" t="s">
        <v>70</v>
      </c>
      <c r="F29" s="29" t="s">
        <v>71</v>
      </c>
      <c r="G29" s="39">
        <v>2</v>
      </c>
      <c r="H29" s="40" t="s">
        <v>22</v>
      </c>
      <c r="I29" s="40" t="s">
        <v>22</v>
      </c>
      <c r="J29" s="29" t="s">
        <v>46</v>
      </c>
      <c r="K29" s="28" t="s">
        <v>137</v>
      </c>
      <c r="L29" s="1">
        <v>7.56</v>
      </c>
      <c r="M29" s="28" t="s">
        <v>137</v>
      </c>
      <c r="N29" s="1">
        <v>5.38</v>
      </c>
      <c r="O29" s="28" t="s">
        <v>137</v>
      </c>
      <c r="P29" s="29">
        <v>2.1800000000000002</v>
      </c>
      <c r="Q29" s="29">
        <v>2.2599999999999998</v>
      </c>
      <c r="R29" s="28" t="s">
        <v>137</v>
      </c>
      <c r="S29" s="27">
        <v>11.22</v>
      </c>
      <c r="T29" s="29" t="s">
        <v>158</v>
      </c>
      <c r="U29" s="29" t="s">
        <v>164</v>
      </c>
      <c r="V29" s="29" t="s">
        <v>165</v>
      </c>
      <c r="W29" s="42"/>
      <c r="X29" s="42"/>
      <c r="Y29" s="54"/>
      <c r="Z29" s="42"/>
      <c r="AA29" s="42"/>
      <c r="AB29" s="42"/>
      <c r="AC29" s="42"/>
      <c r="AD29" s="42"/>
      <c r="AE29" s="49"/>
      <c r="AF29" s="50"/>
      <c r="AG29" s="49"/>
      <c r="AH29" s="50"/>
      <c r="AI29" s="49"/>
      <c r="AJ29" s="50"/>
      <c r="AK29" s="50"/>
      <c r="AL29" s="49"/>
      <c r="AM29" s="50"/>
      <c r="AN29" s="42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1:54" s="25" customFormat="1" x14ac:dyDescent="0.15">
      <c r="A30" s="29">
        <v>495</v>
      </c>
      <c r="B30" s="29" t="s">
        <v>147</v>
      </c>
      <c r="C30" s="29" t="s">
        <v>87</v>
      </c>
      <c r="D30" s="29" t="s">
        <v>18</v>
      </c>
      <c r="E30" s="29" t="s">
        <v>70</v>
      </c>
      <c r="F30" s="29" t="s">
        <v>71</v>
      </c>
      <c r="G30" s="41">
        <v>3</v>
      </c>
      <c r="H30" s="40" t="s">
        <v>22</v>
      </c>
      <c r="I30" s="40" t="s">
        <v>22</v>
      </c>
      <c r="J30" s="29" t="s">
        <v>59</v>
      </c>
      <c r="K30" s="28" t="s">
        <v>137</v>
      </c>
      <c r="L30" s="1">
        <v>7.45</v>
      </c>
      <c r="M30" s="28" t="s">
        <v>137</v>
      </c>
      <c r="N30" s="1">
        <v>6.05</v>
      </c>
      <c r="O30" s="28" t="s">
        <v>137</v>
      </c>
      <c r="P30" s="29">
        <v>2.2400000000000002</v>
      </c>
      <c r="Q30" s="29" t="s">
        <v>137</v>
      </c>
      <c r="R30" s="28" t="s">
        <v>137</v>
      </c>
      <c r="S30" s="27">
        <v>10.66</v>
      </c>
      <c r="T30" s="29" t="s">
        <v>162</v>
      </c>
      <c r="U30" s="29" t="s">
        <v>165</v>
      </c>
      <c r="V30" s="29" t="s">
        <v>167</v>
      </c>
      <c r="W30" s="42"/>
      <c r="X30" s="42"/>
      <c r="Y30" s="54"/>
      <c r="Z30" s="42"/>
      <c r="AA30" s="42"/>
      <c r="AB30" s="42"/>
      <c r="AC30" s="42"/>
      <c r="AD30" s="42"/>
      <c r="AE30" s="49"/>
      <c r="AF30" s="50"/>
      <c r="AG30" s="49"/>
      <c r="AH30" s="50"/>
      <c r="AI30" s="49"/>
      <c r="AJ30" s="50"/>
      <c r="AK30" s="50"/>
      <c r="AL30" s="49"/>
      <c r="AM30" s="50"/>
      <c r="AN30" s="42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1:54" s="25" customFormat="1" x14ac:dyDescent="0.15">
      <c r="A31" s="29">
        <v>496</v>
      </c>
      <c r="B31" s="29" t="s">
        <v>147</v>
      </c>
      <c r="C31" s="29" t="s">
        <v>87</v>
      </c>
      <c r="D31" s="29" t="s">
        <v>18</v>
      </c>
      <c r="E31" s="29" t="s">
        <v>70</v>
      </c>
      <c r="F31" s="29" t="s">
        <v>71</v>
      </c>
      <c r="G31" s="36">
        <v>1</v>
      </c>
      <c r="H31" s="37" t="s">
        <v>21</v>
      </c>
      <c r="I31" s="37" t="s">
        <v>21</v>
      </c>
      <c r="J31" s="29" t="s">
        <v>50</v>
      </c>
      <c r="K31" s="28" t="s">
        <v>137</v>
      </c>
      <c r="L31" s="1">
        <v>7.2</v>
      </c>
      <c r="M31" s="28" t="s">
        <v>137</v>
      </c>
      <c r="N31" s="1">
        <v>5.78</v>
      </c>
      <c r="O31" s="28" t="s">
        <v>137</v>
      </c>
      <c r="P31" s="29">
        <v>2.76</v>
      </c>
      <c r="Q31" s="29">
        <v>3.12</v>
      </c>
      <c r="R31" s="28" t="s">
        <v>137</v>
      </c>
      <c r="S31" s="27">
        <v>11.75</v>
      </c>
      <c r="T31" s="29" t="s">
        <v>157</v>
      </c>
      <c r="U31" s="29" t="s">
        <v>163</v>
      </c>
      <c r="V31" s="29" t="s">
        <v>164</v>
      </c>
      <c r="W31" s="42"/>
      <c r="X31" s="42"/>
      <c r="Y31" s="54"/>
      <c r="Z31" s="42"/>
      <c r="AA31" s="42"/>
      <c r="AB31" s="42"/>
      <c r="AC31" s="42"/>
      <c r="AD31" s="42"/>
      <c r="AE31" s="49"/>
      <c r="AF31" s="50"/>
      <c r="AG31" s="49"/>
      <c r="AH31" s="50"/>
      <c r="AI31" s="49"/>
      <c r="AJ31" s="50"/>
      <c r="AK31" s="50"/>
      <c r="AL31" s="49"/>
      <c r="AM31" s="50"/>
      <c r="AN31" s="42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1:54" s="25" customFormat="1" x14ac:dyDescent="0.15">
      <c r="A32" s="29">
        <v>497</v>
      </c>
      <c r="B32" s="29" t="s">
        <v>147</v>
      </c>
      <c r="C32" s="29" t="s">
        <v>87</v>
      </c>
      <c r="D32" s="29" t="s">
        <v>18</v>
      </c>
      <c r="E32" s="29" t="s">
        <v>70</v>
      </c>
      <c r="F32" s="29" t="s">
        <v>71</v>
      </c>
      <c r="G32" s="39">
        <v>2</v>
      </c>
      <c r="H32" s="40" t="s">
        <v>22</v>
      </c>
      <c r="I32" s="40" t="s">
        <v>22</v>
      </c>
      <c r="J32" s="29" t="s">
        <v>38</v>
      </c>
      <c r="K32" s="28" t="s">
        <v>137</v>
      </c>
      <c r="L32" s="1">
        <v>7.79</v>
      </c>
      <c r="M32" s="28" t="s">
        <v>137</v>
      </c>
      <c r="N32" s="1">
        <v>5.42</v>
      </c>
      <c r="O32" s="28" t="s">
        <v>137</v>
      </c>
      <c r="P32" s="29">
        <v>2.34</v>
      </c>
      <c r="Q32" s="29" t="s">
        <v>137</v>
      </c>
      <c r="R32" s="28" t="s">
        <v>137</v>
      </c>
      <c r="S32" s="27">
        <v>11.82</v>
      </c>
      <c r="T32" s="29" t="s">
        <v>158</v>
      </c>
      <c r="U32" s="29" t="s">
        <v>164</v>
      </c>
      <c r="V32" s="29" t="s">
        <v>165</v>
      </c>
      <c r="W32" s="42"/>
      <c r="X32" s="42"/>
      <c r="Y32" s="54"/>
      <c r="Z32" s="42"/>
      <c r="AA32" s="42"/>
      <c r="AB32" s="42"/>
      <c r="AC32" s="42"/>
      <c r="AD32" s="42"/>
      <c r="AE32" s="49"/>
      <c r="AF32" s="50"/>
      <c r="AG32" s="49"/>
      <c r="AH32" s="50"/>
      <c r="AI32" s="49"/>
      <c r="AJ32" s="50"/>
      <c r="AK32" s="50"/>
      <c r="AL32" s="49"/>
      <c r="AM32" s="50"/>
      <c r="AN32" s="42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1:54" s="25" customFormat="1" x14ac:dyDescent="0.15">
      <c r="A33" s="29">
        <v>498</v>
      </c>
      <c r="B33" s="29" t="s">
        <v>147</v>
      </c>
      <c r="C33" s="29" t="s">
        <v>87</v>
      </c>
      <c r="D33" s="29" t="s">
        <v>18</v>
      </c>
      <c r="E33" s="29" t="s">
        <v>70</v>
      </c>
      <c r="F33" s="29" t="s">
        <v>71</v>
      </c>
      <c r="G33" s="41">
        <v>3</v>
      </c>
      <c r="H33" s="40" t="s">
        <v>22</v>
      </c>
      <c r="I33" s="40" t="s">
        <v>22</v>
      </c>
      <c r="J33" s="29" t="s">
        <v>39</v>
      </c>
      <c r="K33" s="28" t="s">
        <v>137</v>
      </c>
      <c r="L33" s="1">
        <v>7.66</v>
      </c>
      <c r="M33" s="28" t="s">
        <v>137</v>
      </c>
      <c r="N33" s="1">
        <v>5.96</v>
      </c>
      <c r="O33" s="28" t="s">
        <v>137</v>
      </c>
      <c r="P33" s="29">
        <v>2.25</v>
      </c>
      <c r="Q33" s="29">
        <v>2.37</v>
      </c>
      <c r="R33" s="28" t="s">
        <v>137</v>
      </c>
      <c r="S33" s="27">
        <v>10.93</v>
      </c>
      <c r="T33" s="29" t="s">
        <v>162</v>
      </c>
      <c r="U33" s="29" t="s">
        <v>165</v>
      </c>
      <c r="V33" s="29" t="s">
        <v>167</v>
      </c>
      <c r="W33" s="42"/>
      <c r="X33" s="42"/>
      <c r="Y33" s="54"/>
      <c r="Z33" s="42"/>
      <c r="AA33" s="42"/>
      <c r="AB33" s="42"/>
      <c r="AC33" s="42"/>
      <c r="AD33" s="42"/>
      <c r="AE33" s="49"/>
      <c r="AF33" s="50"/>
      <c r="AG33" s="49"/>
      <c r="AH33" s="50"/>
      <c r="AI33" s="49"/>
      <c r="AJ33" s="50"/>
      <c r="AK33" s="50"/>
      <c r="AL33" s="49"/>
      <c r="AM33" s="50"/>
      <c r="AN33" s="42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1:54" s="25" customFormat="1" x14ac:dyDescent="0.15">
      <c r="A34" s="29">
        <v>499</v>
      </c>
      <c r="B34" s="29" t="s">
        <v>147</v>
      </c>
      <c r="C34" s="29" t="s">
        <v>87</v>
      </c>
      <c r="D34" s="29" t="s">
        <v>18</v>
      </c>
      <c r="E34" s="29" t="s">
        <v>70</v>
      </c>
      <c r="F34" s="29" t="s">
        <v>71</v>
      </c>
      <c r="G34" s="41">
        <v>3</v>
      </c>
      <c r="H34" s="37" t="s">
        <v>21</v>
      </c>
      <c r="I34" s="37" t="s">
        <v>21</v>
      </c>
      <c r="J34" s="29" t="s">
        <v>41</v>
      </c>
      <c r="K34" s="28" t="s">
        <v>137</v>
      </c>
      <c r="L34" s="1">
        <v>7.07</v>
      </c>
      <c r="M34" s="28" t="s">
        <v>137</v>
      </c>
      <c r="N34" s="1">
        <v>5.81</v>
      </c>
      <c r="O34" s="28" t="s">
        <v>137</v>
      </c>
      <c r="P34" s="29">
        <v>2.67</v>
      </c>
      <c r="Q34" s="29">
        <v>3.16</v>
      </c>
      <c r="R34" s="28" t="s">
        <v>137</v>
      </c>
      <c r="S34" s="27">
        <v>10.92</v>
      </c>
      <c r="T34" s="29" t="s">
        <v>159</v>
      </c>
      <c r="U34" s="29" t="s">
        <v>163</v>
      </c>
      <c r="V34" s="29" t="s">
        <v>166</v>
      </c>
      <c r="W34" s="42"/>
      <c r="X34" s="42"/>
      <c r="Y34" s="54"/>
      <c r="Z34" s="42"/>
      <c r="AA34" s="42"/>
      <c r="AB34" s="42"/>
      <c r="AC34" s="42"/>
      <c r="AD34" s="42"/>
      <c r="AE34" s="49"/>
      <c r="AF34" s="50"/>
      <c r="AG34" s="49"/>
      <c r="AH34" s="50"/>
      <c r="AI34" s="49"/>
      <c r="AJ34" s="50"/>
      <c r="AK34" s="50"/>
      <c r="AL34" s="49"/>
      <c r="AM34" s="50"/>
      <c r="AN34" s="42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1:54" s="25" customFormat="1" x14ac:dyDescent="0.15">
      <c r="A35" s="29">
        <v>500</v>
      </c>
      <c r="B35" s="29" t="s">
        <v>147</v>
      </c>
      <c r="C35" s="29" t="s">
        <v>87</v>
      </c>
      <c r="D35" s="29" t="s">
        <v>18</v>
      </c>
      <c r="E35" s="29" t="s">
        <v>70</v>
      </c>
      <c r="F35" s="29" t="s">
        <v>71</v>
      </c>
      <c r="G35" s="39">
        <v>2</v>
      </c>
      <c r="H35" s="37" t="s">
        <v>21</v>
      </c>
      <c r="I35" s="37" t="s">
        <v>21</v>
      </c>
      <c r="J35" s="29" t="s">
        <v>28</v>
      </c>
      <c r="K35" s="28" t="s">
        <v>137</v>
      </c>
      <c r="L35" s="1">
        <v>7.04</v>
      </c>
      <c r="M35" s="28" t="s">
        <v>137</v>
      </c>
      <c r="N35" s="1">
        <v>5.52</v>
      </c>
      <c r="O35" s="28" t="s">
        <v>137</v>
      </c>
      <c r="P35" s="29">
        <v>2.1800000000000002</v>
      </c>
      <c r="Q35" s="29">
        <v>2.2999999999999998</v>
      </c>
      <c r="R35" s="28" t="s">
        <v>137</v>
      </c>
      <c r="S35" s="27">
        <v>10.73</v>
      </c>
      <c r="T35" s="29" t="s">
        <v>160</v>
      </c>
      <c r="U35" s="29" t="s">
        <v>166</v>
      </c>
      <c r="V35" s="29" t="s">
        <v>164</v>
      </c>
      <c r="W35" s="42"/>
      <c r="X35" s="42"/>
      <c r="Y35" s="54"/>
      <c r="Z35" s="42"/>
      <c r="AA35" s="42"/>
      <c r="AB35" s="42"/>
      <c r="AC35" s="42"/>
      <c r="AD35" s="42"/>
      <c r="AE35" s="49"/>
      <c r="AF35" s="50"/>
      <c r="AG35" s="49"/>
      <c r="AH35" s="50"/>
      <c r="AI35" s="49"/>
      <c r="AJ35" s="50"/>
      <c r="AK35" s="50"/>
      <c r="AL35" s="49"/>
      <c r="AM35" s="50"/>
      <c r="AN35" s="42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1:54" s="25" customFormat="1" x14ac:dyDescent="0.15">
      <c r="A36" s="29">
        <v>501</v>
      </c>
      <c r="B36" s="29" t="s">
        <v>147</v>
      </c>
      <c r="C36" s="29" t="s">
        <v>87</v>
      </c>
      <c r="D36" s="29" t="s">
        <v>18</v>
      </c>
      <c r="E36" s="29" t="s">
        <v>70</v>
      </c>
      <c r="F36" s="29" t="s">
        <v>71</v>
      </c>
      <c r="G36" s="36">
        <v>1</v>
      </c>
      <c r="H36" s="40" t="s">
        <v>22</v>
      </c>
      <c r="I36" s="40" t="s">
        <v>22</v>
      </c>
      <c r="J36" s="29" t="s">
        <v>29</v>
      </c>
      <c r="K36" s="28" t="s">
        <v>137</v>
      </c>
      <c r="L36" s="1">
        <v>7.11</v>
      </c>
      <c r="M36" s="28" t="s">
        <v>137</v>
      </c>
      <c r="N36" s="1">
        <v>5.56</v>
      </c>
      <c r="O36" s="28" t="s">
        <v>137</v>
      </c>
      <c r="P36" s="29">
        <v>2.29</v>
      </c>
      <c r="Q36" s="29" t="s">
        <v>137</v>
      </c>
      <c r="R36" s="28" t="s">
        <v>137</v>
      </c>
      <c r="S36" s="27">
        <v>11.09</v>
      </c>
      <c r="T36" s="29" t="s">
        <v>161</v>
      </c>
      <c r="U36" s="29" t="s">
        <v>164</v>
      </c>
      <c r="V36" s="29" t="s">
        <v>167</v>
      </c>
      <c r="W36" s="42"/>
      <c r="X36" s="42"/>
      <c r="Y36" s="54"/>
      <c r="Z36" s="42"/>
      <c r="AA36" s="42"/>
      <c r="AB36" s="42"/>
      <c r="AC36" s="42"/>
      <c r="AD36" s="42"/>
      <c r="AE36" s="49"/>
      <c r="AF36" s="50"/>
      <c r="AG36" s="49"/>
      <c r="AH36" s="50"/>
      <c r="AI36" s="49"/>
      <c r="AJ36" s="50"/>
      <c r="AK36" s="50"/>
      <c r="AL36" s="49"/>
      <c r="AM36" s="50"/>
      <c r="AN36" s="42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1:54" s="25" customFormat="1" x14ac:dyDescent="0.15">
      <c r="A37" s="29">
        <v>502</v>
      </c>
      <c r="B37" s="29" t="s">
        <v>147</v>
      </c>
      <c r="C37" s="29" t="s">
        <v>87</v>
      </c>
      <c r="D37" s="29" t="s">
        <v>18</v>
      </c>
      <c r="E37" s="29" t="s">
        <v>70</v>
      </c>
      <c r="F37" s="29" t="s">
        <v>71</v>
      </c>
      <c r="G37" s="36">
        <v>1</v>
      </c>
      <c r="H37" s="37" t="s">
        <v>21</v>
      </c>
      <c r="I37" s="37" t="s">
        <v>21</v>
      </c>
      <c r="J37" s="29" t="s">
        <v>32</v>
      </c>
      <c r="K37" s="28" t="s">
        <v>137</v>
      </c>
      <c r="L37" s="1">
        <v>6.82</v>
      </c>
      <c r="M37" s="28" t="s">
        <v>137</v>
      </c>
      <c r="N37" s="1">
        <v>5.69</v>
      </c>
      <c r="O37" s="28" t="s">
        <v>137</v>
      </c>
      <c r="P37" s="29">
        <v>2.58</v>
      </c>
      <c r="Q37" s="29">
        <v>3.08</v>
      </c>
      <c r="R37" s="28" t="s">
        <v>137</v>
      </c>
      <c r="S37" s="27">
        <v>11.12</v>
      </c>
      <c r="T37" s="29" t="s">
        <v>157</v>
      </c>
      <c r="U37" s="29" t="s">
        <v>163</v>
      </c>
      <c r="V37" s="29" t="s">
        <v>164</v>
      </c>
      <c r="W37" s="42"/>
      <c r="X37" s="42"/>
      <c r="Y37" s="54"/>
      <c r="Z37" s="42"/>
      <c r="AA37" s="42"/>
      <c r="AB37" s="42"/>
      <c r="AC37" s="42"/>
      <c r="AD37" s="42"/>
      <c r="AE37" s="49"/>
      <c r="AF37" s="50"/>
      <c r="AG37" s="49"/>
      <c r="AH37" s="50"/>
      <c r="AI37" s="49"/>
      <c r="AJ37" s="50"/>
      <c r="AK37" s="50"/>
      <c r="AL37" s="49"/>
      <c r="AM37" s="50"/>
      <c r="AN37" s="42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1:54" s="25" customFormat="1" x14ac:dyDescent="0.15">
      <c r="A38" s="29">
        <v>503</v>
      </c>
      <c r="B38" s="29" t="s">
        <v>147</v>
      </c>
      <c r="C38" s="29" t="s">
        <v>87</v>
      </c>
      <c r="D38" s="29" t="s">
        <v>18</v>
      </c>
      <c r="E38" s="29" t="s">
        <v>70</v>
      </c>
      <c r="F38" s="29" t="s">
        <v>71</v>
      </c>
      <c r="G38" s="39">
        <v>2</v>
      </c>
      <c r="H38" s="40" t="s">
        <v>22</v>
      </c>
      <c r="I38" s="40" t="s">
        <v>22</v>
      </c>
      <c r="J38" s="29" t="s">
        <v>33</v>
      </c>
      <c r="K38" s="28" t="s">
        <v>137</v>
      </c>
      <c r="L38" s="1">
        <v>7.71</v>
      </c>
      <c r="M38" s="28" t="s">
        <v>137</v>
      </c>
      <c r="N38" s="1">
        <v>5.42</v>
      </c>
      <c r="O38" s="28" t="s">
        <v>137</v>
      </c>
      <c r="P38" s="29">
        <v>2.2799999999999998</v>
      </c>
      <c r="Q38" s="29">
        <v>3.32</v>
      </c>
      <c r="R38" s="28" t="s">
        <v>137</v>
      </c>
      <c r="S38" s="27">
        <v>11.09</v>
      </c>
      <c r="T38" s="29" t="s">
        <v>158</v>
      </c>
      <c r="U38" s="29" t="s">
        <v>164</v>
      </c>
      <c r="V38" s="29" t="s">
        <v>165</v>
      </c>
      <c r="W38" s="42"/>
      <c r="X38" s="42"/>
      <c r="Y38" s="54"/>
      <c r="Z38" s="42"/>
      <c r="AA38" s="42"/>
      <c r="AB38" s="42"/>
      <c r="AC38" s="42"/>
      <c r="AD38" s="42"/>
      <c r="AE38" s="49"/>
      <c r="AF38" s="50"/>
      <c r="AG38" s="49"/>
      <c r="AH38" s="50"/>
      <c r="AI38" s="49"/>
      <c r="AJ38" s="50"/>
      <c r="AK38" s="50"/>
      <c r="AL38" s="49"/>
      <c r="AM38" s="50"/>
      <c r="AN38" s="42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1:54" s="25" customFormat="1" x14ac:dyDescent="0.15">
      <c r="A39" s="29">
        <v>504</v>
      </c>
      <c r="B39" s="29" t="s">
        <v>147</v>
      </c>
      <c r="C39" s="29" t="s">
        <v>87</v>
      </c>
      <c r="D39" s="29" t="s">
        <v>18</v>
      </c>
      <c r="E39" s="29" t="s">
        <v>70</v>
      </c>
      <c r="F39" s="29" t="s">
        <v>71</v>
      </c>
      <c r="G39" s="41">
        <v>3</v>
      </c>
      <c r="H39" s="40" t="s">
        <v>22</v>
      </c>
      <c r="I39" s="40" t="s">
        <v>22</v>
      </c>
      <c r="J39" s="29" t="s">
        <v>62</v>
      </c>
      <c r="K39" s="28" t="s">
        <v>137</v>
      </c>
      <c r="L39" s="1">
        <v>7.03</v>
      </c>
      <c r="M39" s="28" t="s">
        <v>137</v>
      </c>
      <c r="N39" s="1">
        <v>5.53</v>
      </c>
      <c r="O39" s="28" t="s">
        <v>137</v>
      </c>
      <c r="P39" s="29">
        <v>1.79</v>
      </c>
      <c r="Q39" s="29">
        <v>2.13</v>
      </c>
      <c r="R39" s="28" t="s">
        <v>137</v>
      </c>
      <c r="S39" s="27">
        <v>10.24</v>
      </c>
      <c r="T39" s="29" t="s">
        <v>162</v>
      </c>
      <c r="U39" s="29" t="s">
        <v>165</v>
      </c>
      <c r="V39" s="29" t="s">
        <v>167</v>
      </c>
      <c r="W39" s="42"/>
      <c r="X39" s="42"/>
      <c r="Y39" s="54"/>
      <c r="Z39" s="42"/>
      <c r="AA39" s="42"/>
      <c r="AB39" s="42"/>
      <c r="AC39" s="42"/>
      <c r="AD39" s="42"/>
      <c r="AE39" s="49"/>
      <c r="AF39" s="50"/>
      <c r="AG39" s="49"/>
      <c r="AH39" s="50"/>
      <c r="AI39" s="49"/>
      <c r="AJ39" s="50"/>
      <c r="AK39" s="50"/>
      <c r="AL39" s="49"/>
      <c r="AM39" s="50"/>
      <c r="AN39" s="42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1:54" s="55" customFormat="1" x14ac:dyDescent="0.2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8"/>
      <c r="L40" s="19"/>
      <c r="M40" s="18"/>
      <c r="N40" s="19"/>
      <c r="O40" s="18"/>
      <c r="P40" s="19"/>
      <c r="Q40" s="19"/>
      <c r="R40" s="18"/>
      <c r="S40" s="19"/>
      <c r="T40" s="12"/>
      <c r="U40" s="12"/>
      <c r="V40" s="12"/>
    </row>
    <row r="41" spans="1:54" x14ac:dyDescent="0.2">
      <c r="A41" s="2">
        <v>10061</v>
      </c>
      <c r="B41" s="3" t="s">
        <v>128</v>
      </c>
      <c r="C41" s="3" t="s">
        <v>56</v>
      </c>
      <c r="D41" s="3" t="s">
        <v>18</v>
      </c>
      <c r="E41" s="3" t="s">
        <v>57</v>
      </c>
      <c r="F41" s="4" t="s">
        <v>58</v>
      </c>
      <c r="G41" s="5">
        <v>1</v>
      </c>
      <c r="H41" s="10" t="s">
        <v>21</v>
      </c>
      <c r="I41" s="10" t="s">
        <v>21</v>
      </c>
      <c r="J41" s="3" t="s">
        <v>88</v>
      </c>
      <c r="K41" s="4">
        <v>141.6</v>
      </c>
      <c r="L41" s="7">
        <v>7.5750000000000002</v>
      </c>
      <c r="M41" s="4">
        <v>90.2</v>
      </c>
      <c r="N41" s="7">
        <v>6.2190000000000003</v>
      </c>
      <c r="O41" s="4">
        <v>39.54</v>
      </c>
      <c r="P41" s="7">
        <v>2.7349999999999999</v>
      </c>
      <c r="Q41" s="7">
        <v>3.2829999999999999</v>
      </c>
      <c r="R41" s="4">
        <v>144.1</v>
      </c>
      <c r="S41" s="7">
        <v>11.65</v>
      </c>
      <c r="T41" s="29" t="s">
        <v>157</v>
      </c>
      <c r="U41" s="29" t="s">
        <v>163</v>
      </c>
      <c r="V41" s="29" t="s">
        <v>164</v>
      </c>
    </row>
    <row r="42" spans="1:54" x14ac:dyDescent="0.2">
      <c r="A42" s="2">
        <v>10062</v>
      </c>
      <c r="B42" s="3" t="s">
        <v>128</v>
      </c>
      <c r="C42" s="3" t="s">
        <v>56</v>
      </c>
      <c r="D42" s="3" t="s">
        <v>18</v>
      </c>
      <c r="E42" s="3" t="s">
        <v>57</v>
      </c>
      <c r="F42" s="4" t="s">
        <v>58</v>
      </c>
      <c r="G42" s="8">
        <v>2</v>
      </c>
      <c r="H42" s="6" t="s">
        <v>22</v>
      </c>
      <c r="I42" s="6" t="s">
        <v>22</v>
      </c>
      <c r="J42" s="3" t="s">
        <v>118</v>
      </c>
      <c r="K42" s="4">
        <v>138.19999999999999</v>
      </c>
      <c r="L42" s="7">
        <v>7.9580000000000002</v>
      </c>
      <c r="M42" s="4">
        <v>83.58</v>
      </c>
      <c r="N42" s="7">
        <v>6.0049999999999999</v>
      </c>
      <c r="O42" s="4">
        <v>42.67</v>
      </c>
      <c r="P42" s="7">
        <v>2.5539999999999998</v>
      </c>
      <c r="Q42" s="7">
        <v>2.7330000000000001</v>
      </c>
      <c r="R42" s="4">
        <v>144.5</v>
      </c>
      <c r="S42" s="7">
        <v>11.63</v>
      </c>
      <c r="T42" s="29" t="s">
        <v>158</v>
      </c>
      <c r="U42" s="29" t="s">
        <v>164</v>
      </c>
      <c r="V42" s="29" t="s">
        <v>165</v>
      </c>
    </row>
    <row r="43" spans="1:54" x14ac:dyDescent="0.2">
      <c r="A43" s="2">
        <v>10063</v>
      </c>
      <c r="B43" s="3" t="s">
        <v>128</v>
      </c>
      <c r="C43" s="3" t="s">
        <v>56</v>
      </c>
      <c r="D43" s="3" t="s">
        <v>18</v>
      </c>
      <c r="E43" s="3" t="s">
        <v>57</v>
      </c>
      <c r="F43" s="4" t="s">
        <v>58</v>
      </c>
      <c r="G43" s="9">
        <v>3</v>
      </c>
      <c r="H43" s="6" t="s">
        <v>22</v>
      </c>
      <c r="I43" s="6" t="s">
        <v>22</v>
      </c>
      <c r="J43" s="3" t="s">
        <v>97</v>
      </c>
      <c r="K43" s="4">
        <v>137.30000000000001</v>
      </c>
      <c r="L43" s="7">
        <v>7.6230000000000002</v>
      </c>
      <c r="M43" s="4">
        <v>84.7</v>
      </c>
      <c r="N43" s="7">
        <v>6.258</v>
      </c>
      <c r="O43" s="4">
        <v>42.14</v>
      </c>
      <c r="P43" s="7">
        <v>2.6509999999999998</v>
      </c>
      <c r="Q43" s="7">
        <v>2.7370000000000001</v>
      </c>
      <c r="R43" s="4">
        <v>144.69999999999999</v>
      </c>
      <c r="S43" s="7">
        <v>11.06</v>
      </c>
      <c r="T43" s="29" t="s">
        <v>162</v>
      </c>
      <c r="U43" s="29" t="s">
        <v>165</v>
      </c>
      <c r="V43" s="29" t="s">
        <v>167</v>
      </c>
    </row>
    <row r="44" spans="1:54" x14ac:dyDescent="0.2">
      <c r="A44" s="2">
        <v>10064</v>
      </c>
      <c r="B44" s="3" t="s">
        <v>128</v>
      </c>
      <c r="C44" s="3" t="s">
        <v>56</v>
      </c>
      <c r="D44" s="3" t="s">
        <v>18</v>
      </c>
      <c r="E44" s="3" t="s">
        <v>57</v>
      </c>
      <c r="F44" s="4" t="s">
        <v>58</v>
      </c>
      <c r="G44" s="5">
        <v>1</v>
      </c>
      <c r="H44" s="10" t="s">
        <v>21</v>
      </c>
      <c r="I44" s="10" t="s">
        <v>21</v>
      </c>
      <c r="J44" s="3" t="s">
        <v>116</v>
      </c>
      <c r="K44" s="4">
        <v>141.69999999999999</v>
      </c>
      <c r="L44" s="7">
        <v>7.2460000000000004</v>
      </c>
      <c r="M44" s="4">
        <v>89.35</v>
      </c>
      <c r="N44" s="7">
        <v>5.9969999999999999</v>
      </c>
      <c r="O44" s="4">
        <v>35.18</v>
      </c>
      <c r="P44" s="7">
        <v>2.9630000000000001</v>
      </c>
      <c r="Q44" s="7">
        <v>3.08</v>
      </c>
      <c r="R44" s="4">
        <v>143.9</v>
      </c>
      <c r="S44" s="7">
        <v>11.61</v>
      </c>
      <c r="T44" s="29" t="s">
        <v>157</v>
      </c>
      <c r="U44" s="29" t="s">
        <v>163</v>
      </c>
      <c r="V44" s="29" t="s">
        <v>164</v>
      </c>
    </row>
    <row r="45" spans="1:54" x14ac:dyDescent="0.2">
      <c r="A45" s="2">
        <v>10065</v>
      </c>
      <c r="B45" s="3" t="s">
        <v>128</v>
      </c>
      <c r="C45" s="3" t="s">
        <v>56</v>
      </c>
      <c r="D45" s="3" t="s">
        <v>18</v>
      </c>
      <c r="E45" s="3" t="s">
        <v>57</v>
      </c>
      <c r="F45" s="4" t="s">
        <v>58</v>
      </c>
      <c r="G45" s="8">
        <v>2</v>
      </c>
      <c r="H45" s="6" t="s">
        <v>22</v>
      </c>
      <c r="I45" s="6" t="s">
        <v>22</v>
      </c>
      <c r="J45" s="3" t="s">
        <v>100</v>
      </c>
      <c r="K45" s="4">
        <v>138.4</v>
      </c>
      <c r="L45" s="7">
        <v>7.8440000000000003</v>
      </c>
      <c r="M45" s="4">
        <v>83.28</v>
      </c>
      <c r="N45" s="7">
        <v>5.766</v>
      </c>
      <c r="O45" s="4">
        <v>41.97</v>
      </c>
      <c r="P45" s="7">
        <v>2.625</v>
      </c>
      <c r="Q45" s="7">
        <v>2.6259999999999999</v>
      </c>
      <c r="R45" s="4">
        <v>143.80000000000001</v>
      </c>
      <c r="S45" s="7">
        <v>11.61</v>
      </c>
      <c r="T45" s="29" t="s">
        <v>158</v>
      </c>
      <c r="U45" s="29" t="s">
        <v>164</v>
      </c>
      <c r="V45" s="29" t="s">
        <v>165</v>
      </c>
    </row>
    <row r="46" spans="1:54" x14ac:dyDescent="0.2">
      <c r="A46" s="2">
        <v>10066</v>
      </c>
      <c r="B46" s="3" t="s">
        <v>128</v>
      </c>
      <c r="C46" s="3" t="s">
        <v>56</v>
      </c>
      <c r="D46" s="3" t="s">
        <v>18</v>
      </c>
      <c r="E46" s="3" t="s">
        <v>57</v>
      </c>
      <c r="F46" s="4" t="s">
        <v>58</v>
      </c>
      <c r="G46" s="9">
        <v>3</v>
      </c>
      <c r="H46" s="6" t="s">
        <v>22</v>
      </c>
      <c r="I46" s="6" t="s">
        <v>22</v>
      </c>
      <c r="J46" s="3" t="s">
        <v>101</v>
      </c>
      <c r="K46" s="4">
        <v>136.69999999999999</v>
      </c>
      <c r="L46" s="7">
        <v>7.524</v>
      </c>
      <c r="M46" s="4">
        <v>84.39</v>
      </c>
      <c r="N46" s="7">
        <v>5.9420000000000002</v>
      </c>
      <c r="O46" s="4">
        <v>41.08</v>
      </c>
      <c r="P46" s="7">
        <v>2.1139999999999999</v>
      </c>
      <c r="Q46" s="7">
        <v>2.4260000000000002</v>
      </c>
      <c r="R46" s="4">
        <v>144.69999999999999</v>
      </c>
      <c r="S46" s="7">
        <v>11.11</v>
      </c>
      <c r="T46" s="29" t="s">
        <v>162</v>
      </c>
      <c r="U46" s="29" t="s">
        <v>165</v>
      </c>
      <c r="V46" s="29" t="s">
        <v>167</v>
      </c>
    </row>
    <row r="47" spans="1:54" x14ac:dyDescent="0.2">
      <c r="A47" s="2">
        <v>10067</v>
      </c>
      <c r="B47" s="3" t="s">
        <v>128</v>
      </c>
      <c r="C47" s="3" t="s">
        <v>56</v>
      </c>
      <c r="D47" s="3" t="s">
        <v>18</v>
      </c>
      <c r="E47" s="3" t="s">
        <v>57</v>
      </c>
      <c r="F47" s="4" t="s">
        <v>58</v>
      </c>
      <c r="G47" s="9">
        <v>3</v>
      </c>
      <c r="H47" s="10" t="s">
        <v>21</v>
      </c>
      <c r="I47" s="10" t="s">
        <v>21</v>
      </c>
      <c r="J47" s="3" t="s">
        <v>112</v>
      </c>
      <c r="K47" s="4">
        <v>141.69999999999999</v>
      </c>
      <c r="L47" s="7">
        <v>7.2549999999999999</v>
      </c>
      <c r="M47" s="4">
        <v>88.81</v>
      </c>
      <c r="N47" s="7">
        <v>6.0529999999999999</v>
      </c>
      <c r="O47" s="4">
        <v>36.42</v>
      </c>
      <c r="P47" s="7">
        <v>3.0550000000000002</v>
      </c>
      <c r="Q47" s="7">
        <v>3.4929999999999999</v>
      </c>
      <c r="R47" s="4">
        <v>143.69999999999999</v>
      </c>
      <c r="S47" s="7">
        <v>11.08</v>
      </c>
      <c r="T47" s="29" t="s">
        <v>159</v>
      </c>
      <c r="U47" s="29" t="s">
        <v>163</v>
      </c>
      <c r="V47" s="29" t="s">
        <v>166</v>
      </c>
    </row>
    <row r="48" spans="1:54" x14ac:dyDescent="0.2">
      <c r="A48" s="2">
        <v>10068</v>
      </c>
      <c r="B48" s="3" t="s">
        <v>128</v>
      </c>
      <c r="C48" s="3" t="s">
        <v>56</v>
      </c>
      <c r="D48" s="3" t="s">
        <v>18</v>
      </c>
      <c r="E48" s="3" t="s">
        <v>57</v>
      </c>
      <c r="F48" s="4" t="s">
        <v>58</v>
      </c>
      <c r="G48" s="8">
        <v>2</v>
      </c>
      <c r="H48" s="10" t="s">
        <v>21</v>
      </c>
      <c r="I48" s="10" t="s">
        <v>21</v>
      </c>
      <c r="J48" s="3" t="s">
        <v>106</v>
      </c>
      <c r="K48" s="4">
        <v>140.80000000000001</v>
      </c>
      <c r="L48" s="7">
        <v>7.3789999999999996</v>
      </c>
      <c r="M48" s="4">
        <v>88.27</v>
      </c>
      <c r="N48" s="7">
        <v>5.7850000000000001</v>
      </c>
      <c r="O48" s="4">
        <v>38.450000000000003</v>
      </c>
      <c r="P48" s="7">
        <v>2.544</v>
      </c>
      <c r="Q48" s="7">
        <v>2.544</v>
      </c>
      <c r="R48" s="4">
        <v>142.4</v>
      </c>
      <c r="S48" s="7">
        <v>11.38</v>
      </c>
      <c r="T48" s="29" t="s">
        <v>160</v>
      </c>
      <c r="U48" s="29" t="s">
        <v>166</v>
      </c>
      <c r="V48" s="29" t="s">
        <v>164</v>
      </c>
    </row>
    <row r="49" spans="1:22" x14ac:dyDescent="0.2">
      <c r="A49" s="2">
        <v>10069</v>
      </c>
      <c r="B49" s="3" t="s">
        <v>128</v>
      </c>
      <c r="C49" s="3" t="s">
        <v>56</v>
      </c>
      <c r="D49" s="3" t="s">
        <v>18</v>
      </c>
      <c r="E49" s="3" t="s">
        <v>57</v>
      </c>
      <c r="F49" s="4" t="s">
        <v>58</v>
      </c>
      <c r="G49" s="5">
        <v>1</v>
      </c>
      <c r="H49" s="6" t="s">
        <v>22</v>
      </c>
      <c r="I49" s="6" t="s">
        <v>22</v>
      </c>
      <c r="J49" s="3" t="s">
        <v>107</v>
      </c>
      <c r="K49" s="4">
        <v>137.69999999999999</v>
      </c>
      <c r="L49" s="7">
        <v>7.67</v>
      </c>
      <c r="M49" s="4">
        <v>83.66</v>
      </c>
      <c r="N49" s="7">
        <v>5.9489999999999998</v>
      </c>
      <c r="O49" s="4">
        <v>41.19</v>
      </c>
      <c r="P49" s="7">
        <v>2.54</v>
      </c>
      <c r="Q49" s="7">
        <v>2.569</v>
      </c>
      <c r="R49" s="4">
        <v>144.6</v>
      </c>
      <c r="S49" s="7">
        <v>11.62</v>
      </c>
      <c r="T49" s="29" t="s">
        <v>161</v>
      </c>
      <c r="U49" s="29" t="s">
        <v>164</v>
      </c>
      <c r="V49" s="29" t="s">
        <v>167</v>
      </c>
    </row>
    <row r="50" spans="1:22" x14ac:dyDescent="0.2">
      <c r="A50" s="2">
        <v>10070</v>
      </c>
      <c r="B50" s="3" t="s">
        <v>128</v>
      </c>
      <c r="C50" s="3" t="s">
        <v>56</v>
      </c>
      <c r="D50" s="3" t="s">
        <v>18</v>
      </c>
      <c r="E50" s="3" t="s">
        <v>57</v>
      </c>
      <c r="F50" s="4" t="s">
        <v>58</v>
      </c>
      <c r="G50" s="5">
        <v>1</v>
      </c>
      <c r="H50" s="10" t="s">
        <v>21</v>
      </c>
      <c r="I50" s="10" t="s">
        <v>21</v>
      </c>
      <c r="J50" s="3" t="s">
        <v>89</v>
      </c>
      <c r="K50" s="4">
        <v>142.19999999999999</v>
      </c>
      <c r="L50" s="7">
        <v>7.415</v>
      </c>
      <c r="M50" s="4">
        <v>89.22</v>
      </c>
      <c r="N50" s="7">
        <v>6.0149999999999997</v>
      </c>
      <c r="O50" s="4">
        <v>35.11</v>
      </c>
      <c r="P50" s="7">
        <v>2.9670000000000001</v>
      </c>
      <c r="Q50" s="7">
        <v>3.5779999999999998</v>
      </c>
      <c r="R50" s="4">
        <v>144.5</v>
      </c>
      <c r="S50" s="7">
        <v>11.82</v>
      </c>
      <c r="T50" s="29" t="s">
        <v>157</v>
      </c>
      <c r="U50" s="29" t="s">
        <v>163</v>
      </c>
      <c r="V50" s="29" t="s">
        <v>164</v>
      </c>
    </row>
    <row r="51" spans="1:22" x14ac:dyDescent="0.2">
      <c r="A51" s="2">
        <v>10071</v>
      </c>
      <c r="B51" s="3" t="s">
        <v>128</v>
      </c>
      <c r="C51" s="3" t="s">
        <v>56</v>
      </c>
      <c r="D51" s="3" t="s">
        <v>18</v>
      </c>
      <c r="E51" s="3" t="s">
        <v>57</v>
      </c>
      <c r="F51" s="4" t="s">
        <v>58</v>
      </c>
      <c r="G51" s="8">
        <v>2</v>
      </c>
      <c r="H51" s="6" t="s">
        <v>22</v>
      </c>
      <c r="I51" s="6" t="s">
        <v>22</v>
      </c>
      <c r="J51" s="3" t="s">
        <v>119</v>
      </c>
      <c r="K51" s="4">
        <v>138.5</v>
      </c>
      <c r="L51" s="7">
        <v>7.93</v>
      </c>
      <c r="M51" s="4">
        <v>83.81</v>
      </c>
      <c r="N51" s="7">
        <v>5.8120000000000003</v>
      </c>
      <c r="O51" s="4">
        <v>42.35</v>
      </c>
      <c r="P51" s="7">
        <v>2.52</v>
      </c>
      <c r="Q51" s="7">
        <v>2.706</v>
      </c>
      <c r="R51" s="35" t="s">
        <v>137</v>
      </c>
      <c r="S51" s="7">
        <v>11.93</v>
      </c>
      <c r="T51" s="29" t="s">
        <v>158</v>
      </c>
      <c r="U51" s="29" t="s">
        <v>164</v>
      </c>
      <c r="V51" s="29" t="s">
        <v>165</v>
      </c>
    </row>
    <row r="52" spans="1:22" x14ac:dyDescent="0.2">
      <c r="A52" s="2">
        <v>10072</v>
      </c>
      <c r="B52" s="3" t="s">
        <v>128</v>
      </c>
      <c r="C52" s="3" t="s">
        <v>56</v>
      </c>
      <c r="D52" s="3" t="s">
        <v>18</v>
      </c>
      <c r="E52" s="3" t="s">
        <v>57</v>
      </c>
      <c r="F52" s="4" t="s">
        <v>58</v>
      </c>
      <c r="G52" s="9">
        <v>3</v>
      </c>
      <c r="H52" s="6" t="s">
        <v>22</v>
      </c>
      <c r="I52" s="6" t="s">
        <v>22</v>
      </c>
      <c r="J52" s="3" t="s">
        <v>120</v>
      </c>
      <c r="K52" s="4">
        <v>137.5</v>
      </c>
      <c r="L52" s="7">
        <v>7.7519999999999998</v>
      </c>
      <c r="M52" s="4">
        <v>84.83</v>
      </c>
      <c r="N52" s="7">
        <v>6.2770000000000001</v>
      </c>
      <c r="O52" s="4">
        <v>42.96</v>
      </c>
      <c r="P52" s="7">
        <v>2.3730000000000002</v>
      </c>
      <c r="Q52" s="7">
        <v>2.5009999999999999</v>
      </c>
      <c r="R52" s="4">
        <v>144.1</v>
      </c>
      <c r="S52" s="7">
        <v>11.25</v>
      </c>
      <c r="T52" s="29" t="s">
        <v>162</v>
      </c>
      <c r="U52" s="29" t="s">
        <v>165</v>
      </c>
      <c r="V52" s="29" t="s">
        <v>167</v>
      </c>
    </row>
    <row r="53" spans="1:22" s="55" customFormat="1" x14ac:dyDescent="0.2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8"/>
      <c r="L53" s="19"/>
      <c r="M53" s="18"/>
      <c r="N53" s="19"/>
      <c r="O53" s="18"/>
      <c r="P53" s="19"/>
      <c r="Q53" s="19"/>
      <c r="R53" s="18"/>
      <c r="S53" s="19"/>
      <c r="T53" s="12"/>
      <c r="U53" s="12"/>
      <c r="V53" s="12"/>
    </row>
    <row r="54" spans="1:22" x14ac:dyDescent="0.2">
      <c r="A54" s="2">
        <v>10073</v>
      </c>
      <c r="B54" s="3" t="s">
        <v>127</v>
      </c>
      <c r="C54" s="3" t="s">
        <v>49</v>
      </c>
      <c r="D54" s="3" t="s">
        <v>18</v>
      </c>
      <c r="E54" s="3" t="s">
        <v>70</v>
      </c>
      <c r="F54" s="4" t="s">
        <v>71</v>
      </c>
      <c r="G54" s="5">
        <v>1</v>
      </c>
      <c r="H54" s="10" t="s">
        <v>21</v>
      </c>
      <c r="I54" s="10" t="s">
        <v>21</v>
      </c>
      <c r="J54" s="3" t="s">
        <v>97</v>
      </c>
      <c r="K54" s="4">
        <v>141.6</v>
      </c>
      <c r="L54" s="7">
        <v>7.2919999999999998</v>
      </c>
      <c r="M54" s="4">
        <v>89.38</v>
      </c>
      <c r="N54" s="7">
        <v>5.9870000000000001</v>
      </c>
      <c r="O54" s="4">
        <v>35.33</v>
      </c>
      <c r="P54" s="7">
        <v>2.9729999999999999</v>
      </c>
      <c r="Q54" s="7">
        <v>3.4510000000000001</v>
      </c>
      <c r="R54" s="4">
        <v>144.80000000000001</v>
      </c>
      <c r="S54" s="7">
        <v>11.78</v>
      </c>
      <c r="T54" s="29" t="s">
        <v>157</v>
      </c>
      <c r="U54" s="29" t="s">
        <v>163</v>
      </c>
      <c r="V54" s="29" t="s">
        <v>164</v>
      </c>
    </row>
    <row r="55" spans="1:22" x14ac:dyDescent="0.2">
      <c r="A55" s="2">
        <v>10074</v>
      </c>
      <c r="B55" s="3" t="s">
        <v>127</v>
      </c>
      <c r="C55" s="3" t="s">
        <v>49</v>
      </c>
      <c r="D55" s="3" t="s">
        <v>18</v>
      </c>
      <c r="E55" s="3" t="s">
        <v>70</v>
      </c>
      <c r="F55" s="4" t="s">
        <v>71</v>
      </c>
      <c r="G55" s="8">
        <v>2</v>
      </c>
      <c r="H55" s="6" t="s">
        <v>22</v>
      </c>
      <c r="I55" s="6" t="s">
        <v>22</v>
      </c>
      <c r="J55" s="3" t="s">
        <v>98</v>
      </c>
      <c r="K55" s="4">
        <v>138.5</v>
      </c>
      <c r="L55" s="7">
        <v>8</v>
      </c>
      <c r="M55" s="4">
        <v>83.51</v>
      </c>
      <c r="N55" s="7">
        <v>5.7960000000000003</v>
      </c>
      <c r="O55" s="4">
        <v>42.1</v>
      </c>
      <c r="P55" s="7">
        <v>2.5960000000000001</v>
      </c>
      <c r="Q55" s="7">
        <v>2.6909999999999998</v>
      </c>
      <c r="R55" s="4">
        <v>143.6</v>
      </c>
      <c r="S55" s="7">
        <v>11.66</v>
      </c>
      <c r="T55" s="29" t="s">
        <v>158</v>
      </c>
      <c r="U55" s="29" t="s">
        <v>164</v>
      </c>
      <c r="V55" s="29" t="s">
        <v>165</v>
      </c>
    </row>
    <row r="56" spans="1:22" x14ac:dyDescent="0.2">
      <c r="A56" s="2">
        <v>10075</v>
      </c>
      <c r="B56" s="3" t="s">
        <v>127</v>
      </c>
      <c r="C56" s="3" t="s">
        <v>49</v>
      </c>
      <c r="D56" s="3" t="s">
        <v>18</v>
      </c>
      <c r="E56" s="3" t="s">
        <v>70</v>
      </c>
      <c r="F56" s="4" t="s">
        <v>71</v>
      </c>
      <c r="G56" s="9">
        <v>3</v>
      </c>
      <c r="H56" s="6" t="s">
        <v>22</v>
      </c>
      <c r="I56" s="6" t="s">
        <v>22</v>
      </c>
      <c r="J56" s="3" t="s">
        <v>99</v>
      </c>
      <c r="K56" s="4">
        <v>137.80000000000001</v>
      </c>
      <c r="L56" s="7">
        <v>7.9130000000000003</v>
      </c>
      <c r="M56" s="4">
        <v>85.14</v>
      </c>
      <c r="N56" s="7">
        <v>6.3620000000000001</v>
      </c>
      <c r="O56" s="4">
        <v>43.1</v>
      </c>
      <c r="P56" s="7">
        <v>2.5270000000000001</v>
      </c>
      <c r="Q56" s="7">
        <v>2.6040000000000001</v>
      </c>
      <c r="R56" s="4">
        <v>145.4</v>
      </c>
      <c r="S56" s="7">
        <v>11.1</v>
      </c>
      <c r="T56" s="29" t="s">
        <v>162</v>
      </c>
      <c r="U56" s="29" t="s">
        <v>165</v>
      </c>
      <c r="V56" s="29" t="s">
        <v>167</v>
      </c>
    </row>
    <row r="57" spans="1:22" x14ac:dyDescent="0.2">
      <c r="A57" s="2">
        <v>10076</v>
      </c>
      <c r="B57" s="3" t="s">
        <v>127</v>
      </c>
      <c r="C57" s="3" t="s">
        <v>49</v>
      </c>
      <c r="D57" s="3" t="s">
        <v>18</v>
      </c>
      <c r="E57" s="3" t="s">
        <v>70</v>
      </c>
      <c r="F57" s="4" t="s">
        <v>71</v>
      </c>
      <c r="G57" s="5">
        <v>1</v>
      </c>
      <c r="H57" s="10" t="s">
        <v>21</v>
      </c>
      <c r="I57" s="10" t="s">
        <v>21</v>
      </c>
      <c r="J57" s="3" t="s">
        <v>102</v>
      </c>
      <c r="K57" s="4">
        <v>141.80000000000001</v>
      </c>
      <c r="L57" s="7">
        <v>7.4080000000000004</v>
      </c>
      <c r="M57" s="4">
        <v>89.23</v>
      </c>
      <c r="N57" s="7">
        <v>5.9939999999999998</v>
      </c>
      <c r="O57" s="4">
        <v>34.26</v>
      </c>
      <c r="P57" s="7">
        <v>3.0659999999999998</v>
      </c>
      <c r="Q57" s="7">
        <v>3.4889999999999999</v>
      </c>
      <c r="R57" s="4">
        <v>144.5</v>
      </c>
      <c r="S57" s="7">
        <v>11.92</v>
      </c>
      <c r="T57" s="29" t="s">
        <v>157</v>
      </c>
      <c r="U57" s="29" t="s">
        <v>163</v>
      </c>
      <c r="V57" s="29" t="s">
        <v>164</v>
      </c>
    </row>
    <row r="58" spans="1:22" x14ac:dyDescent="0.2">
      <c r="A58" s="2">
        <v>10077</v>
      </c>
      <c r="B58" s="3" t="s">
        <v>127</v>
      </c>
      <c r="C58" s="3" t="s">
        <v>49</v>
      </c>
      <c r="D58" s="3" t="s">
        <v>18</v>
      </c>
      <c r="E58" s="3" t="s">
        <v>70</v>
      </c>
      <c r="F58" s="4" t="s">
        <v>71</v>
      </c>
      <c r="G58" s="8">
        <v>2</v>
      </c>
      <c r="H58" s="6" t="s">
        <v>22</v>
      </c>
      <c r="I58" s="6" t="s">
        <v>22</v>
      </c>
      <c r="J58" s="3" t="s">
        <v>111</v>
      </c>
      <c r="K58" s="4">
        <v>138.5</v>
      </c>
      <c r="L58" s="7">
        <v>7.9649999999999999</v>
      </c>
      <c r="M58" s="4">
        <v>83.59</v>
      </c>
      <c r="N58" s="7">
        <v>5.7560000000000002</v>
      </c>
      <c r="O58" s="4">
        <v>42.22</v>
      </c>
      <c r="P58" s="7">
        <v>2.536</v>
      </c>
      <c r="Q58" s="7">
        <v>2.6269999999999998</v>
      </c>
      <c r="R58" s="4">
        <v>144.19999999999999</v>
      </c>
      <c r="S58" s="7">
        <v>11.91</v>
      </c>
      <c r="T58" s="29" t="s">
        <v>158</v>
      </c>
      <c r="U58" s="29" t="s">
        <v>164</v>
      </c>
      <c r="V58" s="29" t="s">
        <v>165</v>
      </c>
    </row>
    <row r="59" spans="1:22" x14ac:dyDescent="0.2">
      <c r="A59" s="2">
        <v>10078</v>
      </c>
      <c r="B59" s="3" t="s">
        <v>127</v>
      </c>
      <c r="C59" s="3" t="s">
        <v>49</v>
      </c>
      <c r="D59" s="3" t="s">
        <v>18</v>
      </c>
      <c r="E59" s="3" t="s">
        <v>70</v>
      </c>
      <c r="F59" s="4" t="s">
        <v>71</v>
      </c>
      <c r="G59" s="9">
        <v>3</v>
      </c>
      <c r="H59" s="6" t="s">
        <v>22</v>
      </c>
      <c r="I59" s="6" t="s">
        <v>22</v>
      </c>
      <c r="J59" s="3" t="s">
        <v>103</v>
      </c>
      <c r="K59" s="4">
        <v>137.30000000000001</v>
      </c>
      <c r="L59" s="7">
        <v>7.9189999999999996</v>
      </c>
      <c r="M59" s="4">
        <v>84.52</v>
      </c>
      <c r="N59" s="7">
        <v>6.1630000000000003</v>
      </c>
      <c r="O59" s="4">
        <v>40.53</v>
      </c>
      <c r="P59" s="7">
        <v>2.585</v>
      </c>
      <c r="Q59" s="7">
        <v>2.8210000000000002</v>
      </c>
      <c r="R59" s="4">
        <v>144.6</v>
      </c>
      <c r="S59" s="7">
        <v>11.65</v>
      </c>
      <c r="T59" s="29" t="s">
        <v>162</v>
      </c>
      <c r="U59" s="29" t="s">
        <v>165</v>
      </c>
      <c r="V59" s="29" t="s">
        <v>167</v>
      </c>
    </row>
    <row r="60" spans="1:22" x14ac:dyDescent="0.2">
      <c r="A60" s="2">
        <v>10079</v>
      </c>
      <c r="B60" s="3" t="s">
        <v>127</v>
      </c>
      <c r="C60" s="3" t="s">
        <v>49</v>
      </c>
      <c r="D60" s="3" t="s">
        <v>18</v>
      </c>
      <c r="E60" s="3" t="s">
        <v>70</v>
      </c>
      <c r="F60" s="4" t="s">
        <v>71</v>
      </c>
      <c r="G60" s="9">
        <v>3</v>
      </c>
      <c r="H60" s="10" t="s">
        <v>21</v>
      </c>
      <c r="I60" s="10" t="s">
        <v>21</v>
      </c>
      <c r="J60" s="3" t="s">
        <v>106</v>
      </c>
      <c r="K60" s="4">
        <v>141.30000000000001</v>
      </c>
      <c r="L60" s="7">
        <v>7.3280000000000003</v>
      </c>
      <c r="M60" s="4">
        <v>89.09</v>
      </c>
      <c r="N60" s="7">
        <v>6.09</v>
      </c>
      <c r="O60" s="4">
        <v>35.17</v>
      </c>
      <c r="P60" s="7">
        <v>3.1709999999999998</v>
      </c>
      <c r="Q60" s="7">
        <v>3.6989999999999998</v>
      </c>
      <c r="R60" s="4">
        <v>142.5</v>
      </c>
      <c r="S60" s="7">
        <v>10.81</v>
      </c>
      <c r="T60" s="29" t="s">
        <v>159</v>
      </c>
      <c r="U60" s="29" t="s">
        <v>163</v>
      </c>
      <c r="V60" s="29" t="s">
        <v>166</v>
      </c>
    </row>
    <row r="61" spans="1:22" x14ac:dyDescent="0.2">
      <c r="A61" s="2">
        <v>10080</v>
      </c>
      <c r="B61" s="3" t="s">
        <v>127</v>
      </c>
      <c r="C61" s="3" t="s">
        <v>49</v>
      </c>
      <c r="D61" s="3" t="s">
        <v>18</v>
      </c>
      <c r="E61" s="3" t="s">
        <v>70</v>
      </c>
      <c r="F61" s="4" t="s">
        <v>71</v>
      </c>
      <c r="G61" s="8">
        <v>2</v>
      </c>
      <c r="H61" s="10" t="s">
        <v>21</v>
      </c>
      <c r="I61" s="10" t="s">
        <v>21</v>
      </c>
      <c r="J61" s="3" t="s">
        <v>107</v>
      </c>
      <c r="K61" s="4">
        <v>140.69999999999999</v>
      </c>
      <c r="L61" s="7">
        <v>7.3659999999999997</v>
      </c>
      <c r="M61" s="4">
        <v>88.18</v>
      </c>
      <c r="N61" s="7">
        <v>5.742</v>
      </c>
      <c r="O61" s="4">
        <v>38.49</v>
      </c>
      <c r="P61" s="7">
        <v>2.4609999999999999</v>
      </c>
      <c r="Q61" s="7">
        <v>2.4609999999999999</v>
      </c>
      <c r="R61" s="4">
        <v>142.30000000000001</v>
      </c>
      <c r="S61" s="7">
        <v>11.06</v>
      </c>
      <c r="T61" s="29" t="s">
        <v>160</v>
      </c>
      <c r="U61" s="29" t="s">
        <v>166</v>
      </c>
      <c r="V61" s="29" t="s">
        <v>164</v>
      </c>
    </row>
    <row r="62" spans="1:22" x14ac:dyDescent="0.2">
      <c r="A62" s="2">
        <v>10081</v>
      </c>
      <c r="B62" s="3" t="s">
        <v>127</v>
      </c>
      <c r="C62" s="3" t="s">
        <v>49</v>
      </c>
      <c r="D62" s="3" t="s">
        <v>18</v>
      </c>
      <c r="E62" s="3" t="s">
        <v>70</v>
      </c>
      <c r="F62" s="4" t="s">
        <v>71</v>
      </c>
      <c r="G62" s="5">
        <v>1</v>
      </c>
      <c r="H62" s="6" t="s">
        <v>22</v>
      </c>
      <c r="I62" s="6" t="s">
        <v>22</v>
      </c>
      <c r="J62" s="3" t="s">
        <v>108</v>
      </c>
      <c r="K62" s="4">
        <v>137.4</v>
      </c>
      <c r="L62" s="7">
        <v>7.4320000000000004</v>
      </c>
      <c r="M62" s="4">
        <v>83.73</v>
      </c>
      <c r="N62" s="7">
        <v>5.9009999999999998</v>
      </c>
      <c r="O62" s="4">
        <v>41.52</v>
      </c>
      <c r="P62" s="7">
        <v>2.6070000000000002</v>
      </c>
      <c r="Q62" s="7">
        <v>2.63</v>
      </c>
      <c r="R62" s="4">
        <v>144.5</v>
      </c>
      <c r="S62" s="7">
        <v>11.61</v>
      </c>
      <c r="T62" s="29" t="s">
        <v>161</v>
      </c>
      <c r="U62" s="29" t="s">
        <v>164</v>
      </c>
      <c r="V62" s="29" t="s">
        <v>167</v>
      </c>
    </row>
    <row r="63" spans="1:22" x14ac:dyDescent="0.2">
      <c r="A63" s="2">
        <v>10082</v>
      </c>
      <c r="B63" s="3" t="s">
        <v>127</v>
      </c>
      <c r="C63" s="3" t="s">
        <v>49</v>
      </c>
      <c r="D63" s="3" t="s">
        <v>18</v>
      </c>
      <c r="E63" s="3" t="s">
        <v>70</v>
      </c>
      <c r="F63" s="4" t="s">
        <v>71</v>
      </c>
      <c r="G63" s="5">
        <v>1</v>
      </c>
      <c r="H63" s="10" t="s">
        <v>21</v>
      </c>
      <c r="I63" s="10" t="s">
        <v>21</v>
      </c>
      <c r="J63" s="3" t="s">
        <v>119</v>
      </c>
      <c r="K63" s="4">
        <v>141.1</v>
      </c>
      <c r="L63" s="7">
        <v>7.0620000000000003</v>
      </c>
      <c r="M63" s="4">
        <v>89.07</v>
      </c>
      <c r="N63" s="7">
        <v>5.9059999999999997</v>
      </c>
      <c r="O63" s="4">
        <v>35.340000000000003</v>
      </c>
      <c r="P63" s="7">
        <v>2.9569999999999999</v>
      </c>
      <c r="Q63" s="7">
        <v>3.47</v>
      </c>
      <c r="R63" s="4">
        <v>144.6</v>
      </c>
      <c r="S63" s="7">
        <v>11.37</v>
      </c>
      <c r="T63" s="29" t="s">
        <v>157</v>
      </c>
      <c r="U63" s="29" t="s">
        <v>163</v>
      </c>
      <c r="V63" s="29" t="s">
        <v>164</v>
      </c>
    </row>
    <row r="64" spans="1:22" x14ac:dyDescent="0.2">
      <c r="A64" s="2">
        <v>10083</v>
      </c>
      <c r="B64" s="3" t="s">
        <v>127</v>
      </c>
      <c r="C64" s="3" t="s">
        <v>49</v>
      </c>
      <c r="D64" s="3" t="s">
        <v>18</v>
      </c>
      <c r="E64" s="3" t="s">
        <v>70</v>
      </c>
      <c r="F64" s="4" t="s">
        <v>71</v>
      </c>
      <c r="G64" s="8">
        <v>2</v>
      </c>
      <c r="H64" s="6" t="s">
        <v>22</v>
      </c>
      <c r="I64" s="6" t="s">
        <v>22</v>
      </c>
      <c r="J64" s="3" t="s">
        <v>120</v>
      </c>
      <c r="K64" s="4">
        <v>137.30000000000001</v>
      </c>
      <c r="L64" s="7">
        <v>7.7220000000000004</v>
      </c>
      <c r="M64" s="4">
        <v>83.97</v>
      </c>
      <c r="N64" s="7">
        <v>5.87</v>
      </c>
      <c r="O64" s="4">
        <v>42.58</v>
      </c>
      <c r="P64" s="7">
        <v>2.5369999999999999</v>
      </c>
      <c r="Q64" s="7">
        <v>2.6970000000000001</v>
      </c>
      <c r="R64" s="4">
        <v>143.6</v>
      </c>
      <c r="S64" s="7">
        <v>11.54</v>
      </c>
      <c r="T64" s="29" t="s">
        <v>158</v>
      </c>
      <c r="U64" s="29" t="s">
        <v>164</v>
      </c>
      <c r="V64" s="29" t="s">
        <v>165</v>
      </c>
    </row>
    <row r="65" spans="1:22" x14ac:dyDescent="0.2">
      <c r="A65" s="2">
        <v>10084</v>
      </c>
      <c r="B65" s="3" t="s">
        <v>127</v>
      </c>
      <c r="C65" s="3" t="s">
        <v>49</v>
      </c>
      <c r="D65" s="3" t="s">
        <v>18</v>
      </c>
      <c r="E65" s="3" t="s">
        <v>70</v>
      </c>
      <c r="F65" s="4" t="s">
        <v>71</v>
      </c>
      <c r="G65" s="9">
        <v>3</v>
      </c>
      <c r="H65" s="6" t="s">
        <v>22</v>
      </c>
      <c r="I65" s="6" t="s">
        <v>22</v>
      </c>
      <c r="J65" s="3" t="s">
        <v>121</v>
      </c>
      <c r="K65" s="4">
        <v>137.69999999999999</v>
      </c>
      <c r="L65" s="7">
        <v>7.72</v>
      </c>
      <c r="M65" s="4">
        <v>84.86</v>
      </c>
      <c r="N65" s="7">
        <v>6.3159999999999998</v>
      </c>
      <c r="O65" s="4">
        <v>43.26</v>
      </c>
      <c r="P65" s="7">
        <v>2.5099999999999998</v>
      </c>
      <c r="Q65" s="7">
        <v>2.5659999999999998</v>
      </c>
      <c r="R65" s="4">
        <v>144.19999999999999</v>
      </c>
      <c r="S65" s="7">
        <v>10.8</v>
      </c>
      <c r="T65" s="29" t="s">
        <v>162</v>
      </c>
      <c r="U65" s="29" t="s">
        <v>165</v>
      </c>
      <c r="V65" s="29" t="s">
        <v>167</v>
      </c>
    </row>
    <row r="66" spans="1:22" s="55" customFormat="1" x14ac:dyDescent="0.2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8"/>
      <c r="L66" s="19"/>
      <c r="M66" s="18"/>
      <c r="N66" s="19"/>
      <c r="O66" s="18"/>
      <c r="P66" s="19"/>
      <c r="Q66" s="19"/>
      <c r="R66" s="18"/>
      <c r="S66" s="19"/>
      <c r="T66" s="12"/>
      <c r="U66" s="12"/>
      <c r="V66" s="12"/>
    </row>
    <row r="67" spans="1:22" x14ac:dyDescent="0.2">
      <c r="A67" s="2">
        <v>10085</v>
      </c>
      <c r="B67" s="3" t="s">
        <v>122</v>
      </c>
      <c r="C67" s="3" t="s">
        <v>75</v>
      </c>
      <c r="D67" s="3" t="s">
        <v>18</v>
      </c>
      <c r="E67" s="3" t="s">
        <v>70</v>
      </c>
      <c r="F67" s="4" t="s">
        <v>71</v>
      </c>
      <c r="G67" s="5">
        <v>1</v>
      </c>
      <c r="H67" s="10" t="s">
        <v>21</v>
      </c>
      <c r="I67" s="10" t="s">
        <v>21</v>
      </c>
      <c r="J67" s="3" t="s">
        <v>97</v>
      </c>
      <c r="K67" s="4">
        <v>141.6</v>
      </c>
      <c r="L67" s="7">
        <v>7.4409999999999998</v>
      </c>
      <c r="M67" s="4">
        <v>89.56</v>
      </c>
      <c r="N67" s="7">
        <v>6.0919999999999996</v>
      </c>
      <c r="O67" s="4">
        <v>35.6</v>
      </c>
      <c r="P67" s="7">
        <v>2.9590000000000001</v>
      </c>
      <c r="Q67" s="7">
        <v>3.3919999999999999</v>
      </c>
      <c r="R67" s="4">
        <v>144.9</v>
      </c>
      <c r="S67" s="7">
        <v>12.04</v>
      </c>
      <c r="T67" s="29" t="s">
        <v>157</v>
      </c>
      <c r="U67" s="29" t="s">
        <v>163</v>
      </c>
      <c r="V67" s="29" t="s">
        <v>164</v>
      </c>
    </row>
    <row r="68" spans="1:22" x14ac:dyDescent="0.2">
      <c r="A68" s="2">
        <v>10086</v>
      </c>
      <c r="B68" s="3" t="s">
        <v>122</v>
      </c>
      <c r="C68" s="3" t="s">
        <v>75</v>
      </c>
      <c r="D68" s="3" t="s">
        <v>18</v>
      </c>
      <c r="E68" s="3" t="s">
        <v>70</v>
      </c>
      <c r="F68" s="4" t="s">
        <v>71</v>
      </c>
      <c r="G68" s="8">
        <v>2</v>
      </c>
      <c r="H68" s="6" t="s">
        <v>22</v>
      </c>
      <c r="I68" s="6" t="s">
        <v>22</v>
      </c>
      <c r="J68" s="3" t="s">
        <v>98</v>
      </c>
      <c r="K68" s="4">
        <v>138.6</v>
      </c>
      <c r="L68" s="7">
        <v>7.9649999999999999</v>
      </c>
      <c r="M68" s="4">
        <v>83.35</v>
      </c>
      <c r="N68" s="7">
        <v>5.7850000000000001</v>
      </c>
      <c r="O68" s="4">
        <v>42.14</v>
      </c>
      <c r="P68" s="7">
        <v>2.569</v>
      </c>
      <c r="Q68" s="7">
        <v>2.6429999999999998</v>
      </c>
      <c r="R68" s="4">
        <v>143.80000000000001</v>
      </c>
      <c r="S68" s="7">
        <v>11.77</v>
      </c>
      <c r="T68" s="29" t="s">
        <v>158</v>
      </c>
      <c r="U68" s="29" t="s">
        <v>164</v>
      </c>
      <c r="V68" s="29" t="s">
        <v>165</v>
      </c>
    </row>
    <row r="69" spans="1:22" x14ac:dyDescent="0.2">
      <c r="A69" s="2">
        <v>10087</v>
      </c>
      <c r="B69" s="3" t="s">
        <v>122</v>
      </c>
      <c r="C69" s="3" t="s">
        <v>75</v>
      </c>
      <c r="D69" s="3" t="s">
        <v>18</v>
      </c>
      <c r="E69" s="3" t="s">
        <v>70</v>
      </c>
      <c r="F69" s="4" t="s">
        <v>71</v>
      </c>
      <c r="G69" s="9">
        <v>3</v>
      </c>
      <c r="H69" s="6" t="s">
        <v>22</v>
      </c>
      <c r="I69" s="6" t="s">
        <v>22</v>
      </c>
      <c r="J69" s="3" t="s">
        <v>99</v>
      </c>
      <c r="K69" s="4">
        <v>137.30000000000001</v>
      </c>
      <c r="L69" s="7">
        <v>7.8179999999999996</v>
      </c>
      <c r="M69" s="4">
        <v>85.2</v>
      </c>
      <c r="N69" s="7">
        <v>6.399</v>
      </c>
      <c r="O69" s="4">
        <v>43.4</v>
      </c>
      <c r="P69" s="7">
        <v>2.605</v>
      </c>
      <c r="Q69" s="7">
        <v>2.605</v>
      </c>
      <c r="R69" s="4">
        <v>144.9</v>
      </c>
      <c r="S69" s="7">
        <v>11.06</v>
      </c>
      <c r="T69" s="29" t="s">
        <v>162</v>
      </c>
      <c r="U69" s="29" t="s">
        <v>165</v>
      </c>
      <c r="V69" s="29" t="s">
        <v>167</v>
      </c>
    </row>
    <row r="70" spans="1:22" x14ac:dyDescent="0.2">
      <c r="A70" s="2">
        <v>10088</v>
      </c>
      <c r="B70" s="3" t="s">
        <v>122</v>
      </c>
      <c r="C70" s="3" t="s">
        <v>75</v>
      </c>
      <c r="D70" s="3" t="s">
        <v>18</v>
      </c>
      <c r="E70" s="3" t="s">
        <v>70</v>
      </c>
      <c r="F70" s="4" t="s">
        <v>71</v>
      </c>
      <c r="G70" s="5">
        <v>1</v>
      </c>
      <c r="H70" s="10" t="s">
        <v>21</v>
      </c>
      <c r="I70" s="10" t="s">
        <v>21</v>
      </c>
      <c r="J70" s="3" t="s">
        <v>102</v>
      </c>
      <c r="K70" s="4">
        <v>141.6</v>
      </c>
      <c r="L70" s="7">
        <v>7.3410000000000002</v>
      </c>
      <c r="M70" s="4">
        <v>89.25</v>
      </c>
      <c r="N70" s="7">
        <v>5.9480000000000004</v>
      </c>
      <c r="O70" s="4">
        <v>34.130000000000003</v>
      </c>
      <c r="P70" s="7">
        <v>3.0019999999999998</v>
      </c>
      <c r="Q70" s="7">
        <v>3.4329999999999998</v>
      </c>
      <c r="R70" s="4">
        <v>144.5</v>
      </c>
      <c r="S70" s="7">
        <v>11.88</v>
      </c>
      <c r="T70" s="29" t="s">
        <v>157</v>
      </c>
      <c r="U70" s="29" t="s">
        <v>163</v>
      </c>
      <c r="V70" s="29" t="s">
        <v>164</v>
      </c>
    </row>
    <row r="71" spans="1:22" x14ac:dyDescent="0.2">
      <c r="A71" s="2">
        <v>10089</v>
      </c>
      <c r="B71" s="3" t="s">
        <v>122</v>
      </c>
      <c r="C71" s="3" t="s">
        <v>75</v>
      </c>
      <c r="D71" s="3" t="s">
        <v>18</v>
      </c>
      <c r="E71" s="3" t="s">
        <v>70</v>
      </c>
      <c r="F71" s="4" t="s">
        <v>71</v>
      </c>
      <c r="G71" s="8">
        <v>2</v>
      </c>
      <c r="H71" s="6" t="s">
        <v>22</v>
      </c>
      <c r="I71" s="6" t="s">
        <v>22</v>
      </c>
      <c r="J71" s="3" t="s">
        <v>111</v>
      </c>
      <c r="K71" s="4">
        <v>138.80000000000001</v>
      </c>
      <c r="L71" s="7">
        <v>8.0429999999999993</v>
      </c>
      <c r="M71" s="4">
        <v>83.34</v>
      </c>
      <c r="N71" s="7">
        <v>5.6589999999999998</v>
      </c>
      <c r="O71" s="4">
        <v>41.62</v>
      </c>
      <c r="P71" s="7">
        <v>2.6419999999999999</v>
      </c>
      <c r="Q71" s="7">
        <v>2.6429999999999998</v>
      </c>
      <c r="R71" s="4">
        <v>144.69999999999999</v>
      </c>
      <c r="S71" s="7">
        <v>12.19</v>
      </c>
      <c r="T71" s="29" t="s">
        <v>158</v>
      </c>
      <c r="U71" s="29" t="s">
        <v>164</v>
      </c>
      <c r="V71" s="29" t="s">
        <v>165</v>
      </c>
    </row>
    <row r="72" spans="1:22" x14ac:dyDescent="0.2">
      <c r="A72" s="2">
        <v>10090</v>
      </c>
      <c r="B72" s="3" t="s">
        <v>122</v>
      </c>
      <c r="C72" s="3" t="s">
        <v>75</v>
      </c>
      <c r="D72" s="3" t="s">
        <v>18</v>
      </c>
      <c r="E72" s="3" t="s">
        <v>70</v>
      </c>
      <c r="F72" s="4" t="s">
        <v>71</v>
      </c>
      <c r="G72" s="9">
        <v>3</v>
      </c>
      <c r="H72" s="6" t="s">
        <v>22</v>
      </c>
      <c r="I72" s="6" t="s">
        <v>22</v>
      </c>
      <c r="J72" s="3" t="s">
        <v>103</v>
      </c>
      <c r="K72" s="4">
        <v>137.19999999999999</v>
      </c>
      <c r="L72" s="7">
        <v>7.9450000000000003</v>
      </c>
      <c r="M72" s="4">
        <v>84.31</v>
      </c>
      <c r="N72" s="7">
        <v>6.2880000000000003</v>
      </c>
      <c r="O72" s="4">
        <v>42.05</v>
      </c>
      <c r="P72" s="7">
        <v>2.5510000000000002</v>
      </c>
      <c r="Q72" s="7">
        <v>2.6760000000000002</v>
      </c>
      <c r="R72" s="4">
        <v>144.6</v>
      </c>
      <c r="S72" s="7">
        <v>11.28</v>
      </c>
      <c r="T72" s="29" t="s">
        <v>162</v>
      </c>
      <c r="U72" s="29" t="s">
        <v>165</v>
      </c>
      <c r="V72" s="29" t="s">
        <v>167</v>
      </c>
    </row>
    <row r="73" spans="1:22" x14ac:dyDescent="0.2">
      <c r="A73" s="2">
        <v>10091</v>
      </c>
      <c r="B73" s="3" t="s">
        <v>122</v>
      </c>
      <c r="C73" s="3" t="s">
        <v>75</v>
      </c>
      <c r="D73" s="3" t="s">
        <v>18</v>
      </c>
      <c r="E73" s="3" t="s">
        <v>70</v>
      </c>
      <c r="F73" s="4" t="s">
        <v>71</v>
      </c>
      <c r="G73" s="9">
        <v>3</v>
      </c>
      <c r="H73" s="10" t="s">
        <v>21</v>
      </c>
      <c r="I73" s="10" t="s">
        <v>21</v>
      </c>
      <c r="J73" s="3" t="s">
        <v>106</v>
      </c>
      <c r="K73" s="4">
        <v>141.6</v>
      </c>
      <c r="L73" s="7">
        <v>7.3520000000000003</v>
      </c>
      <c r="M73" s="4">
        <v>88.38</v>
      </c>
      <c r="N73" s="7">
        <v>6.1079999999999997</v>
      </c>
      <c r="O73" s="4">
        <v>36.56</v>
      </c>
      <c r="P73" s="7">
        <v>2.99</v>
      </c>
      <c r="Q73" s="7">
        <v>3.4950000000000001</v>
      </c>
      <c r="R73" s="4">
        <v>144.80000000000001</v>
      </c>
      <c r="S73" s="7">
        <v>11.34</v>
      </c>
      <c r="T73" s="29" t="s">
        <v>159</v>
      </c>
      <c r="U73" s="29" t="s">
        <v>163</v>
      </c>
      <c r="V73" s="29" t="s">
        <v>166</v>
      </c>
    </row>
    <row r="74" spans="1:22" x14ac:dyDescent="0.2">
      <c r="A74" s="2">
        <v>10092</v>
      </c>
      <c r="B74" s="3" t="s">
        <v>122</v>
      </c>
      <c r="C74" s="3" t="s">
        <v>75</v>
      </c>
      <c r="D74" s="3" t="s">
        <v>18</v>
      </c>
      <c r="E74" s="3" t="s">
        <v>70</v>
      </c>
      <c r="F74" s="4" t="s">
        <v>71</v>
      </c>
      <c r="G74" s="8">
        <v>2</v>
      </c>
      <c r="H74" s="10" t="s">
        <v>21</v>
      </c>
      <c r="I74" s="10" t="s">
        <v>21</v>
      </c>
      <c r="J74" s="3" t="s">
        <v>107</v>
      </c>
      <c r="K74" s="4">
        <v>140.19999999999999</v>
      </c>
      <c r="L74" s="7">
        <v>7.3179999999999996</v>
      </c>
      <c r="M74" s="4">
        <v>88.4</v>
      </c>
      <c r="N74" s="7">
        <v>5.7640000000000002</v>
      </c>
      <c r="O74" s="4">
        <v>38.15</v>
      </c>
      <c r="P74" s="7">
        <v>2.4660000000000002</v>
      </c>
      <c r="Q74" s="7">
        <v>2.536</v>
      </c>
      <c r="R74" s="4">
        <v>142.80000000000001</v>
      </c>
      <c r="S74" s="7">
        <v>11.22</v>
      </c>
      <c r="T74" s="29" t="s">
        <v>160</v>
      </c>
      <c r="U74" s="29" t="s">
        <v>166</v>
      </c>
      <c r="V74" s="29" t="s">
        <v>164</v>
      </c>
    </row>
    <row r="75" spans="1:22" x14ac:dyDescent="0.2">
      <c r="A75" s="2">
        <v>10093</v>
      </c>
      <c r="B75" s="3" t="s">
        <v>122</v>
      </c>
      <c r="C75" s="3" t="s">
        <v>75</v>
      </c>
      <c r="D75" s="3" t="s">
        <v>18</v>
      </c>
      <c r="E75" s="3" t="s">
        <v>70</v>
      </c>
      <c r="F75" s="4" t="s">
        <v>71</v>
      </c>
      <c r="G75" s="5">
        <v>1</v>
      </c>
      <c r="H75" s="6" t="s">
        <v>22</v>
      </c>
      <c r="I75" s="6" t="s">
        <v>22</v>
      </c>
      <c r="J75" s="3" t="s">
        <v>108</v>
      </c>
      <c r="K75" s="4">
        <v>137.69999999999999</v>
      </c>
      <c r="L75" s="7">
        <v>7.67</v>
      </c>
      <c r="M75" s="4">
        <v>83.72</v>
      </c>
      <c r="N75" s="7">
        <v>5.9539999999999997</v>
      </c>
      <c r="O75" s="4">
        <v>41.24</v>
      </c>
      <c r="P75" s="7">
        <v>2.6059999999999999</v>
      </c>
      <c r="Q75" s="7">
        <v>2.665</v>
      </c>
      <c r="R75" s="4">
        <v>144.9</v>
      </c>
      <c r="S75" s="7">
        <v>11.8</v>
      </c>
      <c r="T75" s="29" t="s">
        <v>161</v>
      </c>
      <c r="U75" s="29" t="s">
        <v>164</v>
      </c>
      <c r="V75" s="29" t="s">
        <v>167</v>
      </c>
    </row>
    <row r="76" spans="1:22" x14ac:dyDescent="0.2">
      <c r="A76" s="2">
        <v>10094</v>
      </c>
      <c r="B76" s="3" t="s">
        <v>122</v>
      </c>
      <c r="C76" s="3" t="s">
        <v>75</v>
      </c>
      <c r="D76" s="3" t="s">
        <v>18</v>
      </c>
      <c r="E76" s="3" t="s">
        <v>70</v>
      </c>
      <c r="F76" s="4" t="s">
        <v>71</v>
      </c>
      <c r="G76" s="5">
        <v>1</v>
      </c>
      <c r="H76" s="10" t="s">
        <v>21</v>
      </c>
      <c r="I76" s="10" t="s">
        <v>21</v>
      </c>
      <c r="J76" s="3" t="s">
        <v>119</v>
      </c>
      <c r="K76" s="4">
        <v>142</v>
      </c>
      <c r="L76" s="7">
        <v>7.3570000000000002</v>
      </c>
      <c r="M76" s="4">
        <v>89.5</v>
      </c>
      <c r="N76" s="7">
        <v>6.0510000000000002</v>
      </c>
      <c r="O76" s="4">
        <v>35.82</v>
      </c>
      <c r="P76" s="7">
        <v>2.968</v>
      </c>
      <c r="Q76" s="7">
        <v>3.4750000000000001</v>
      </c>
      <c r="R76" s="4">
        <v>145</v>
      </c>
      <c r="S76" s="7">
        <v>11.47</v>
      </c>
      <c r="T76" s="29" t="s">
        <v>157</v>
      </c>
      <c r="U76" s="29" t="s">
        <v>163</v>
      </c>
      <c r="V76" s="29" t="s">
        <v>164</v>
      </c>
    </row>
    <row r="77" spans="1:22" x14ac:dyDescent="0.2">
      <c r="A77" s="2">
        <v>10095</v>
      </c>
      <c r="B77" s="3" t="s">
        <v>122</v>
      </c>
      <c r="C77" s="3" t="s">
        <v>75</v>
      </c>
      <c r="D77" s="3" t="s">
        <v>18</v>
      </c>
      <c r="E77" s="3" t="s">
        <v>70</v>
      </c>
      <c r="F77" s="4" t="s">
        <v>71</v>
      </c>
      <c r="G77" s="8">
        <v>2</v>
      </c>
      <c r="H77" s="6" t="s">
        <v>22</v>
      </c>
      <c r="I77" s="6" t="s">
        <v>22</v>
      </c>
      <c r="J77" s="3" t="s">
        <v>120</v>
      </c>
      <c r="K77" s="4">
        <v>138</v>
      </c>
      <c r="L77" s="7">
        <v>8.0649999999999995</v>
      </c>
      <c r="M77" s="4">
        <v>83.34</v>
      </c>
      <c r="N77" s="7">
        <v>5.7850000000000001</v>
      </c>
      <c r="O77" s="4">
        <v>41.72</v>
      </c>
      <c r="P77" s="7">
        <v>2.6859999999999999</v>
      </c>
      <c r="Q77" s="7">
        <v>2.6869999999999998</v>
      </c>
      <c r="R77" s="4">
        <v>143.80000000000001</v>
      </c>
      <c r="S77" s="7">
        <v>11.66</v>
      </c>
      <c r="T77" s="29" t="s">
        <v>158</v>
      </c>
      <c r="U77" s="29" t="s">
        <v>164</v>
      </c>
      <c r="V77" s="29" t="s">
        <v>165</v>
      </c>
    </row>
    <row r="78" spans="1:22" x14ac:dyDescent="0.2">
      <c r="A78" s="2">
        <v>10096</v>
      </c>
      <c r="B78" s="3" t="s">
        <v>122</v>
      </c>
      <c r="C78" s="3" t="s">
        <v>75</v>
      </c>
      <c r="D78" s="3" t="s">
        <v>18</v>
      </c>
      <c r="E78" s="3" t="s">
        <v>70</v>
      </c>
      <c r="F78" s="4" t="s">
        <v>71</v>
      </c>
      <c r="G78" s="9">
        <v>3</v>
      </c>
      <c r="H78" s="6" t="s">
        <v>22</v>
      </c>
      <c r="I78" s="6" t="s">
        <v>22</v>
      </c>
      <c r="J78" s="3" t="s">
        <v>121</v>
      </c>
      <c r="K78" s="4">
        <v>136.5</v>
      </c>
      <c r="L78" s="7">
        <v>7.4269999999999996</v>
      </c>
      <c r="M78" s="4">
        <v>84.92</v>
      </c>
      <c r="N78" s="7">
        <v>5.899</v>
      </c>
      <c r="O78" s="4">
        <v>41.9</v>
      </c>
      <c r="P78" s="7">
        <v>2.161</v>
      </c>
      <c r="Q78" s="7">
        <v>2.5470000000000002</v>
      </c>
      <c r="R78" s="4">
        <v>144.4</v>
      </c>
      <c r="S78" s="7">
        <v>10.67</v>
      </c>
      <c r="T78" s="29" t="s">
        <v>162</v>
      </c>
      <c r="U78" s="29" t="s">
        <v>165</v>
      </c>
      <c r="V78" s="29" t="s">
        <v>167</v>
      </c>
    </row>
    <row r="79" spans="1:22" s="55" customFormat="1" x14ac:dyDescent="0.2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8"/>
      <c r="L79" s="19"/>
      <c r="M79" s="18"/>
      <c r="N79" s="19"/>
      <c r="O79" s="18"/>
      <c r="P79" s="19"/>
      <c r="Q79" s="19"/>
      <c r="R79" s="18"/>
      <c r="S79" s="19"/>
      <c r="T79" s="12"/>
      <c r="U79" s="12"/>
      <c r="V79" s="12"/>
    </row>
    <row r="80" spans="1:22" x14ac:dyDescent="0.2">
      <c r="A80" s="2">
        <v>10121</v>
      </c>
      <c r="B80" s="3" t="s">
        <v>117</v>
      </c>
      <c r="C80" s="3" t="s">
        <v>17</v>
      </c>
      <c r="D80" s="3" t="s">
        <v>18</v>
      </c>
      <c r="E80" s="3" t="s">
        <v>19</v>
      </c>
      <c r="F80" s="4" t="s">
        <v>20</v>
      </c>
      <c r="G80" s="5">
        <v>1</v>
      </c>
      <c r="H80" s="10" t="s">
        <v>21</v>
      </c>
      <c r="I80" s="10" t="s">
        <v>21</v>
      </c>
      <c r="J80" s="3" t="s">
        <v>88</v>
      </c>
      <c r="K80" s="4">
        <v>140.80000000000001</v>
      </c>
      <c r="L80" s="7">
        <v>7.2590000000000003</v>
      </c>
      <c r="M80" s="4">
        <v>89.69</v>
      </c>
      <c r="N80" s="7">
        <v>5.867</v>
      </c>
      <c r="O80" s="4">
        <v>38.5</v>
      </c>
      <c r="P80" s="7">
        <v>2.8050000000000002</v>
      </c>
      <c r="Q80" s="7">
        <v>3.1080000000000001</v>
      </c>
      <c r="R80" s="35" t="s">
        <v>137</v>
      </c>
      <c r="S80" s="7">
        <v>11.84</v>
      </c>
      <c r="T80" s="29" t="s">
        <v>157</v>
      </c>
      <c r="U80" s="29" t="s">
        <v>163</v>
      </c>
      <c r="V80" s="29" t="s">
        <v>164</v>
      </c>
    </row>
    <row r="81" spans="1:22" x14ac:dyDescent="0.2">
      <c r="A81" s="2">
        <v>10122</v>
      </c>
      <c r="B81" s="3" t="s">
        <v>117</v>
      </c>
      <c r="C81" s="3" t="s">
        <v>17</v>
      </c>
      <c r="D81" s="3" t="s">
        <v>18</v>
      </c>
      <c r="E81" s="3" t="s">
        <v>19</v>
      </c>
      <c r="F81" s="4" t="s">
        <v>20</v>
      </c>
      <c r="G81" s="8">
        <v>2</v>
      </c>
      <c r="H81" s="6" t="s">
        <v>22</v>
      </c>
      <c r="I81" s="6" t="s">
        <v>22</v>
      </c>
      <c r="J81" s="3" t="s">
        <v>118</v>
      </c>
      <c r="K81" s="4">
        <v>138.69999999999999</v>
      </c>
      <c r="L81" s="7">
        <v>7.8650000000000002</v>
      </c>
      <c r="M81" s="4">
        <v>83.61</v>
      </c>
      <c r="N81" s="7">
        <v>5.7430000000000003</v>
      </c>
      <c r="O81" s="4">
        <v>42.44</v>
      </c>
      <c r="P81" s="7">
        <v>2.484</v>
      </c>
      <c r="Q81" s="7">
        <v>2.6930000000000001</v>
      </c>
      <c r="R81" s="35" t="s">
        <v>137</v>
      </c>
      <c r="S81" s="7">
        <v>11.79</v>
      </c>
      <c r="T81" s="29" t="s">
        <v>158</v>
      </c>
      <c r="U81" s="29" t="s">
        <v>164</v>
      </c>
      <c r="V81" s="29" t="s">
        <v>165</v>
      </c>
    </row>
    <row r="82" spans="1:22" x14ac:dyDescent="0.2">
      <c r="A82" s="2">
        <v>10123</v>
      </c>
      <c r="B82" s="3" t="s">
        <v>117</v>
      </c>
      <c r="C82" s="3" t="s">
        <v>17</v>
      </c>
      <c r="D82" s="3" t="s">
        <v>18</v>
      </c>
      <c r="E82" s="3" t="s">
        <v>19</v>
      </c>
      <c r="F82" s="4" t="s">
        <v>20</v>
      </c>
      <c r="G82" s="9">
        <v>3</v>
      </c>
      <c r="H82" s="6" t="s">
        <v>22</v>
      </c>
      <c r="I82" s="6" t="s">
        <v>22</v>
      </c>
      <c r="J82" s="3" t="s">
        <v>97</v>
      </c>
      <c r="K82" s="4">
        <v>136.80000000000001</v>
      </c>
      <c r="L82" s="7">
        <v>7.5049999999999999</v>
      </c>
      <c r="M82" s="4">
        <v>84.31</v>
      </c>
      <c r="N82" s="7">
        <v>5.8920000000000003</v>
      </c>
      <c r="O82" s="4">
        <v>42.66</v>
      </c>
      <c r="P82" s="7">
        <v>2.5470000000000002</v>
      </c>
      <c r="Q82" s="7">
        <v>2.65</v>
      </c>
      <c r="R82" s="35" t="s">
        <v>137</v>
      </c>
      <c r="S82" s="7">
        <v>10.89</v>
      </c>
      <c r="T82" s="29" t="s">
        <v>162</v>
      </c>
      <c r="U82" s="29" t="s">
        <v>165</v>
      </c>
      <c r="V82" s="29" t="s">
        <v>167</v>
      </c>
    </row>
    <row r="83" spans="1:22" x14ac:dyDescent="0.2">
      <c r="A83" s="2">
        <v>10124</v>
      </c>
      <c r="B83" s="3" t="s">
        <v>117</v>
      </c>
      <c r="C83" s="3" t="s">
        <v>17</v>
      </c>
      <c r="D83" s="3" t="s">
        <v>18</v>
      </c>
      <c r="E83" s="3" t="s">
        <v>19</v>
      </c>
      <c r="F83" s="4" t="s">
        <v>20</v>
      </c>
      <c r="G83" s="9">
        <v>3</v>
      </c>
      <c r="H83" s="10" t="s">
        <v>21</v>
      </c>
      <c r="I83" s="10" t="s">
        <v>21</v>
      </c>
      <c r="J83" s="3" t="s">
        <v>100</v>
      </c>
      <c r="K83" s="4">
        <v>142</v>
      </c>
      <c r="L83" s="7">
        <v>7.4009999999999998</v>
      </c>
      <c r="M83" s="4">
        <v>88.95</v>
      </c>
      <c r="N83" s="7">
        <v>6.0869999999999997</v>
      </c>
      <c r="O83" s="4">
        <v>35.479999999999997</v>
      </c>
      <c r="P83" s="7">
        <v>3.1779999999999999</v>
      </c>
      <c r="Q83" s="7">
        <v>3.7949999999999999</v>
      </c>
      <c r="R83" s="35" t="s">
        <v>137</v>
      </c>
      <c r="S83" s="7">
        <v>11.72</v>
      </c>
      <c r="T83" s="29" t="s">
        <v>159</v>
      </c>
      <c r="U83" s="29" t="s">
        <v>163</v>
      </c>
      <c r="V83" s="29" t="s">
        <v>166</v>
      </c>
    </row>
    <row r="84" spans="1:22" x14ac:dyDescent="0.2">
      <c r="A84" s="2">
        <v>10125</v>
      </c>
      <c r="B84" s="3" t="s">
        <v>117</v>
      </c>
      <c r="C84" s="3" t="s">
        <v>17</v>
      </c>
      <c r="D84" s="3" t="s">
        <v>18</v>
      </c>
      <c r="E84" s="3" t="s">
        <v>19</v>
      </c>
      <c r="F84" s="4" t="s">
        <v>20</v>
      </c>
      <c r="G84" s="8">
        <v>2</v>
      </c>
      <c r="H84" s="10" t="s">
        <v>21</v>
      </c>
      <c r="I84" s="10" t="s">
        <v>21</v>
      </c>
      <c r="J84" s="3" t="s">
        <v>101</v>
      </c>
      <c r="K84" s="4">
        <v>141.5</v>
      </c>
      <c r="L84" s="7">
        <v>7.6779999999999999</v>
      </c>
      <c r="M84" s="4">
        <v>88.19</v>
      </c>
      <c r="N84" s="7">
        <v>5.8460000000000001</v>
      </c>
      <c r="O84" s="4">
        <v>38.090000000000003</v>
      </c>
      <c r="P84" s="7">
        <v>2.6520000000000001</v>
      </c>
      <c r="Q84" s="7">
        <v>2.75</v>
      </c>
      <c r="R84" s="35" t="s">
        <v>137</v>
      </c>
      <c r="S84" s="7">
        <v>11.47</v>
      </c>
      <c r="T84" s="29" t="s">
        <v>160</v>
      </c>
      <c r="U84" s="29" t="s">
        <v>166</v>
      </c>
      <c r="V84" s="29" t="s">
        <v>164</v>
      </c>
    </row>
    <row r="85" spans="1:22" x14ac:dyDescent="0.2">
      <c r="A85" s="2">
        <v>10126</v>
      </c>
      <c r="B85" s="3" t="s">
        <v>117</v>
      </c>
      <c r="C85" s="3" t="s">
        <v>17</v>
      </c>
      <c r="D85" s="3" t="s">
        <v>18</v>
      </c>
      <c r="E85" s="3" t="s">
        <v>19</v>
      </c>
      <c r="F85" s="4" t="s">
        <v>20</v>
      </c>
      <c r="G85" s="5">
        <v>1</v>
      </c>
      <c r="H85" s="6" t="s">
        <v>22</v>
      </c>
      <c r="I85" s="6" t="s">
        <v>22</v>
      </c>
      <c r="J85" s="3" t="s">
        <v>102</v>
      </c>
      <c r="K85" s="4">
        <v>137.9</v>
      </c>
      <c r="L85" s="7">
        <v>7.8929999999999998</v>
      </c>
      <c r="M85" s="4">
        <v>83.48</v>
      </c>
      <c r="N85" s="7">
        <v>5.5670000000000002</v>
      </c>
      <c r="O85" s="4">
        <v>40.729999999999997</v>
      </c>
      <c r="P85" s="7">
        <v>2.4540000000000002</v>
      </c>
      <c r="Q85" s="7">
        <v>2.5649999999999999</v>
      </c>
      <c r="R85" s="35" t="s">
        <v>137</v>
      </c>
      <c r="S85" s="7">
        <v>11.1</v>
      </c>
      <c r="T85" s="29" t="s">
        <v>161</v>
      </c>
      <c r="U85" s="29" t="s">
        <v>164</v>
      </c>
      <c r="V85" s="29" t="s">
        <v>167</v>
      </c>
    </row>
    <row r="86" spans="1:22" x14ac:dyDescent="0.2">
      <c r="A86" s="2">
        <v>10127</v>
      </c>
      <c r="B86" s="3" t="s">
        <v>117</v>
      </c>
      <c r="C86" s="3" t="s">
        <v>17</v>
      </c>
      <c r="D86" s="3" t="s">
        <v>18</v>
      </c>
      <c r="E86" s="3" t="s">
        <v>19</v>
      </c>
      <c r="F86" s="4" t="s">
        <v>20</v>
      </c>
      <c r="G86" s="5">
        <v>1</v>
      </c>
      <c r="H86" s="10" t="s">
        <v>21</v>
      </c>
      <c r="I86" s="10" t="s">
        <v>21</v>
      </c>
      <c r="J86" s="3" t="s">
        <v>108</v>
      </c>
      <c r="K86" s="4">
        <v>142.1</v>
      </c>
      <c r="L86" s="7">
        <v>7.5490000000000004</v>
      </c>
      <c r="M86" s="4">
        <v>89.23</v>
      </c>
      <c r="N86" s="7">
        <v>6.218</v>
      </c>
      <c r="O86" s="4">
        <v>36.270000000000003</v>
      </c>
      <c r="P86" s="7">
        <v>3.073</v>
      </c>
      <c r="Q86" s="7">
        <v>3.4820000000000002</v>
      </c>
      <c r="R86" s="35" t="s">
        <v>137</v>
      </c>
      <c r="S86" s="7">
        <v>11.81</v>
      </c>
      <c r="T86" s="29" t="s">
        <v>157</v>
      </c>
      <c r="U86" s="29" t="s">
        <v>163</v>
      </c>
      <c r="V86" s="29" t="s">
        <v>164</v>
      </c>
    </row>
    <row r="87" spans="1:22" x14ac:dyDescent="0.2">
      <c r="A87" s="2">
        <v>10128</v>
      </c>
      <c r="B87" s="3" t="s">
        <v>117</v>
      </c>
      <c r="C87" s="3" t="s">
        <v>17</v>
      </c>
      <c r="D87" s="3" t="s">
        <v>18</v>
      </c>
      <c r="E87" s="3" t="s">
        <v>19</v>
      </c>
      <c r="F87" s="4" t="s">
        <v>20</v>
      </c>
      <c r="G87" s="8">
        <v>2</v>
      </c>
      <c r="H87" s="6" t="s">
        <v>22</v>
      </c>
      <c r="I87" s="6" t="s">
        <v>22</v>
      </c>
      <c r="J87" s="3" t="s">
        <v>113</v>
      </c>
      <c r="K87" s="4">
        <v>137.6</v>
      </c>
      <c r="L87" s="7">
        <v>7.8810000000000002</v>
      </c>
      <c r="M87" s="4">
        <v>84.28</v>
      </c>
      <c r="N87" s="7">
        <v>6.1109999999999998</v>
      </c>
      <c r="O87" s="4">
        <v>43.39</v>
      </c>
      <c r="P87" s="7">
        <v>2.5270000000000001</v>
      </c>
      <c r="Q87" s="7">
        <v>2.9359999999999999</v>
      </c>
      <c r="R87" s="35" t="s">
        <v>137</v>
      </c>
      <c r="S87" s="7">
        <v>11.42</v>
      </c>
      <c r="T87" s="29" t="s">
        <v>158</v>
      </c>
      <c r="U87" s="29" t="s">
        <v>164</v>
      </c>
      <c r="V87" s="29" t="s">
        <v>165</v>
      </c>
    </row>
    <row r="88" spans="1:22" x14ac:dyDescent="0.2">
      <c r="A88" s="2">
        <v>10129</v>
      </c>
      <c r="B88" s="3" t="s">
        <v>117</v>
      </c>
      <c r="C88" s="3" t="s">
        <v>17</v>
      </c>
      <c r="D88" s="3" t="s">
        <v>18</v>
      </c>
      <c r="E88" s="3" t="s">
        <v>19</v>
      </c>
      <c r="F88" s="4" t="s">
        <v>20</v>
      </c>
      <c r="G88" s="9">
        <v>3</v>
      </c>
      <c r="H88" s="6" t="s">
        <v>22</v>
      </c>
      <c r="I88" s="6" t="s">
        <v>22</v>
      </c>
      <c r="J88" s="3" t="s">
        <v>114</v>
      </c>
      <c r="K88" s="4">
        <v>138.30000000000001</v>
      </c>
      <c r="L88" s="7">
        <v>7.532</v>
      </c>
      <c r="M88" s="4">
        <v>85.45</v>
      </c>
      <c r="N88" s="7">
        <v>6.484</v>
      </c>
      <c r="O88" s="4">
        <v>41.8</v>
      </c>
      <c r="P88" s="7">
        <v>2.76</v>
      </c>
      <c r="Q88" s="7">
        <v>2.76</v>
      </c>
      <c r="R88" s="35" t="s">
        <v>137</v>
      </c>
      <c r="S88" s="7">
        <v>11.01</v>
      </c>
      <c r="T88" s="29" t="s">
        <v>162</v>
      </c>
      <c r="U88" s="29" t="s">
        <v>165</v>
      </c>
      <c r="V88" s="29" t="s">
        <v>167</v>
      </c>
    </row>
    <row r="89" spans="1:22" x14ac:dyDescent="0.2">
      <c r="A89" s="2">
        <v>10130</v>
      </c>
      <c r="B89" s="3" t="s">
        <v>117</v>
      </c>
      <c r="C89" s="3" t="s">
        <v>17</v>
      </c>
      <c r="D89" s="3" t="s">
        <v>18</v>
      </c>
      <c r="E89" s="3" t="s">
        <v>19</v>
      </c>
      <c r="F89" s="4" t="s">
        <v>20</v>
      </c>
      <c r="G89" s="5">
        <v>1</v>
      </c>
      <c r="H89" s="10" t="s">
        <v>21</v>
      </c>
      <c r="I89" s="10" t="s">
        <v>21</v>
      </c>
      <c r="J89" s="3" t="s">
        <v>119</v>
      </c>
      <c r="K89" s="35" t="s">
        <v>137</v>
      </c>
      <c r="L89" s="7">
        <v>6.6070000000000002</v>
      </c>
      <c r="M89" s="35" t="s">
        <v>137</v>
      </c>
      <c r="N89" s="7">
        <v>5.452</v>
      </c>
      <c r="O89" s="4">
        <v>35.93</v>
      </c>
      <c r="P89" s="7">
        <v>2.9660000000000002</v>
      </c>
      <c r="Q89" s="7">
        <v>2.9660000000000002</v>
      </c>
      <c r="R89" s="35" t="s">
        <v>137</v>
      </c>
      <c r="S89" s="7">
        <v>11.67</v>
      </c>
      <c r="T89" s="29" t="s">
        <v>157</v>
      </c>
      <c r="U89" s="29" t="s">
        <v>163</v>
      </c>
      <c r="V89" s="29" t="s">
        <v>164</v>
      </c>
    </row>
    <row r="90" spans="1:22" x14ac:dyDescent="0.2">
      <c r="A90" s="2">
        <v>10131</v>
      </c>
      <c r="B90" s="3" t="s">
        <v>117</v>
      </c>
      <c r="C90" s="3" t="s">
        <v>17</v>
      </c>
      <c r="D90" s="3" t="s">
        <v>18</v>
      </c>
      <c r="E90" s="3" t="s">
        <v>19</v>
      </c>
      <c r="F90" s="4" t="s">
        <v>20</v>
      </c>
      <c r="G90" s="8">
        <v>2</v>
      </c>
      <c r="H90" s="6" t="s">
        <v>22</v>
      </c>
      <c r="I90" s="6" t="s">
        <v>22</v>
      </c>
      <c r="J90" s="3" t="s">
        <v>120</v>
      </c>
      <c r="K90" s="4">
        <v>139.19999999999999</v>
      </c>
      <c r="L90" s="7">
        <v>8.1340000000000003</v>
      </c>
      <c r="M90" s="4">
        <v>83.48</v>
      </c>
      <c r="N90" s="7">
        <v>5.8360000000000003</v>
      </c>
      <c r="O90" s="4">
        <v>42.35</v>
      </c>
      <c r="P90" s="7">
        <v>2.65</v>
      </c>
      <c r="Q90" s="7">
        <v>2.7170000000000001</v>
      </c>
      <c r="R90" s="35" t="s">
        <v>137</v>
      </c>
      <c r="S90" s="7">
        <v>11.49</v>
      </c>
      <c r="T90" s="29" t="s">
        <v>158</v>
      </c>
      <c r="U90" s="29" t="s">
        <v>164</v>
      </c>
      <c r="V90" s="29" t="s">
        <v>165</v>
      </c>
    </row>
    <row r="91" spans="1:22" x14ac:dyDescent="0.2">
      <c r="A91" s="2">
        <v>10132</v>
      </c>
      <c r="B91" s="3" t="s">
        <v>117</v>
      </c>
      <c r="C91" s="3" t="s">
        <v>17</v>
      </c>
      <c r="D91" s="3" t="s">
        <v>18</v>
      </c>
      <c r="E91" s="3" t="s">
        <v>19</v>
      </c>
      <c r="F91" s="4" t="s">
        <v>20</v>
      </c>
      <c r="G91" s="9">
        <v>3</v>
      </c>
      <c r="H91" s="6" t="s">
        <v>22</v>
      </c>
      <c r="I91" s="6" t="s">
        <v>22</v>
      </c>
      <c r="J91" s="3" t="s">
        <v>121</v>
      </c>
      <c r="K91" s="4">
        <v>137.80000000000001</v>
      </c>
      <c r="L91" s="7">
        <v>7.8010000000000002</v>
      </c>
      <c r="M91" s="4">
        <v>85.15</v>
      </c>
      <c r="N91" s="7">
        <v>6.4119999999999999</v>
      </c>
      <c r="O91" s="4">
        <v>43.21</v>
      </c>
      <c r="P91" s="7">
        <v>2.452</v>
      </c>
      <c r="Q91" s="7">
        <v>2.56</v>
      </c>
      <c r="R91" s="35" t="s">
        <v>137</v>
      </c>
      <c r="S91" s="7">
        <v>11.3</v>
      </c>
      <c r="T91" s="29" t="s">
        <v>162</v>
      </c>
      <c r="U91" s="29" t="s">
        <v>165</v>
      </c>
      <c r="V91" s="29" t="s">
        <v>167</v>
      </c>
    </row>
    <row r="92" spans="1:22" s="55" customFormat="1" x14ac:dyDescent="0.2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8"/>
      <c r="L92" s="19"/>
      <c r="M92" s="18"/>
      <c r="N92" s="19"/>
      <c r="O92" s="18"/>
      <c r="P92" s="19"/>
      <c r="Q92" s="19"/>
      <c r="R92" s="18"/>
      <c r="S92" s="19"/>
      <c r="T92" s="12"/>
      <c r="U92" s="12"/>
      <c r="V92" s="12"/>
    </row>
    <row r="93" spans="1:22" x14ac:dyDescent="0.2">
      <c r="A93" s="2">
        <v>10133</v>
      </c>
      <c r="B93" s="3" t="s">
        <v>129</v>
      </c>
      <c r="C93" s="3" t="s">
        <v>130</v>
      </c>
      <c r="D93" s="3" t="s">
        <v>18</v>
      </c>
      <c r="E93" s="3" t="s">
        <v>19</v>
      </c>
      <c r="F93" s="4" t="s">
        <v>20</v>
      </c>
      <c r="G93" s="5">
        <v>1</v>
      </c>
      <c r="H93" s="10" t="s">
        <v>21</v>
      </c>
      <c r="I93" s="10" t="s">
        <v>21</v>
      </c>
      <c r="J93" s="3" t="s">
        <v>97</v>
      </c>
      <c r="K93" s="4">
        <v>141.9</v>
      </c>
      <c r="L93" s="7">
        <v>7.47</v>
      </c>
      <c r="M93" s="4">
        <v>89.61</v>
      </c>
      <c r="N93" s="7">
        <v>6.109</v>
      </c>
      <c r="O93" s="4">
        <v>34.96</v>
      </c>
      <c r="P93" s="7">
        <v>3.0569999999999999</v>
      </c>
      <c r="Q93" s="7">
        <v>3.3860000000000001</v>
      </c>
      <c r="R93" s="4">
        <v>144.5</v>
      </c>
      <c r="S93" s="7">
        <v>11.74</v>
      </c>
      <c r="T93" s="29" t="s">
        <v>157</v>
      </c>
      <c r="U93" s="29" t="s">
        <v>163</v>
      </c>
      <c r="V93" s="29" t="s">
        <v>164</v>
      </c>
    </row>
    <row r="94" spans="1:22" x14ac:dyDescent="0.2">
      <c r="A94" s="2">
        <v>10134</v>
      </c>
      <c r="B94" s="3" t="s">
        <v>129</v>
      </c>
      <c r="C94" s="3" t="s">
        <v>130</v>
      </c>
      <c r="D94" s="3" t="s">
        <v>18</v>
      </c>
      <c r="E94" s="3" t="s">
        <v>19</v>
      </c>
      <c r="F94" s="4" t="s">
        <v>20</v>
      </c>
      <c r="G94" s="8">
        <v>2</v>
      </c>
      <c r="H94" s="6" t="s">
        <v>22</v>
      </c>
      <c r="I94" s="6" t="s">
        <v>22</v>
      </c>
      <c r="J94" s="3" t="s">
        <v>98</v>
      </c>
      <c r="K94" s="4">
        <v>138.5</v>
      </c>
      <c r="L94" s="7">
        <v>8.1150000000000002</v>
      </c>
      <c r="M94" s="4">
        <v>83.19</v>
      </c>
      <c r="N94" s="7">
        <v>5.859</v>
      </c>
      <c r="O94" s="4">
        <v>41.92</v>
      </c>
      <c r="P94" s="7">
        <v>2.5950000000000002</v>
      </c>
      <c r="Q94" s="7">
        <v>2.7130000000000001</v>
      </c>
      <c r="R94" s="4">
        <v>143.4</v>
      </c>
      <c r="S94" s="7">
        <v>11.95</v>
      </c>
      <c r="T94" s="29" t="s">
        <v>158</v>
      </c>
      <c r="U94" s="29" t="s">
        <v>164</v>
      </c>
      <c r="V94" s="29" t="s">
        <v>165</v>
      </c>
    </row>
    <row r="95" spans="1:22" x14ac:dyDescent="0.2">
      <c r="A95" s="2">
        <v>10135</v>
      </c>
      <c r="B95" s="3" t="s">
        <v>129</v>
      </c>
      <c r="C95" s="3" t="s">
        <v>130</v>
      </c>
      <c r="D95" s="3" t="s">
        <v>18</v>
      </c>
      <c r="E95" s="3" t="s">
        <v>19</v>
      </c>
      <c r="F95" s="4" t="s">
        <v>20</v>
      </c>
      <c r="G95" s="9">
        <v>3</v>
      </c>
      <c r="H95" s="6" t="s">
        <v>22</v>
      </c>
      <c r="I95" s="6" t="s">
        <v>22</v>
      </c>
      <c r="J95" s="3" t="s">
        <v>99</v>
      </c>
      <c r="K95" s="4">
        <v>136</v>
      </c>
      <c r="L95" s="7">
        <v>7.2830000000000004</v>
      </c>
      <c r="M95" s="4">
        <v>85.11</v>
      </c>
      <c r="N95" s="7">
        <v>6.274</v>
      </c>
      <c r="O95" s="4">
        <v>43.6</v>
      </c>
      <c r="P95" s="7">
        <v>2.4380000000000002</v>
      </c>
      <c r="Q95" s="7">
        <v>2.5960000000000001</v>
      </c>
      <c r="R95" s="4">
        <v>144.30000000000001</v>
      </c>
      <c r="S95" s="7">
        <v>11.24</v>
      </c>
      <c r="T95" s="29" t="s">
        <v>162</v>
      </c>
      <c r="U95" s="29" t="s">
        <v>165</v>
      </c>
      <c r="V95" s="29" t="s">
        <v>167</v>
      </c>
    </row>
    <row r="96" spans="1:22" x14ac:dyDescent="0.2">
      <c r="A96" s="2">
        <v>10136</v>
      </c>
      <c r="B96" s="3" t="s">
        <v>129</v>
      </c>
      <c r="C96" s="3" t="s">
        <v>130</v>
      </c>
      <c r="D96" s="3" t="s">
        <v>18</v>
      </c>
      <c r="E96" s="3" t="s">
        <v>19</v>
      </c>
      <c r="F96" s="4" t="s">
        <v>20</v>
      </c>
      <c r="G96" s="9">
        <v>3</v>
      </c>
      <c r="H96" s="10" t="s">
        <v>21</v>
      </c>
      <c r="I96" s="10" t="s">
        <v>21</v>
      </c>
      <c r="J96" s="3" t="s">
        <v>102</v>
      </c>
      <c r="K96" s="4">
        <v>141.5</v>
      </c>
      <c r="L96" s="7">
        <v>7.6150000000000002</v>
      </c>
      <c r="M96" s="4">
        <v>89.67</v>
      </c>
      <c r="N96" s="7">
        <v>6.38</v>
      </c>
      <c r="O96" s="4">
        <v>37.340000000000003</v>
      </c>
      <c r="P96" s="7" t="s">
        <v>137</v>
      </c>
      <c r="Q96" s="35">
        <v>2.7469999999999999</v>
      </c>
      <c r="R96" s="4">
        <v>145.69999999999999</v>
      </c>
      <c r="S96" s="7">
        <v>10.95</v>
      </c>
      <c r="T96" s="29" t="s">
        <v>159</v>
      </c>
      <c r="U96" s="29" t="s">
        <v>163</v>
      </c>
      <c r="V96" s="29" t="s">
        <v>166</v>
      </c>
    </row>
    <row r="97" spans="1:22" x14ac:dyDescent="0.2">
      <c r="A97" s="2">
        <v>10137</v>
      </c>
      <c r="B97" s="3" t="s">
        <v>129</v>
      </c>
      <c r="C97" s="3" t="s">
        <v>130</v>
      </c>
      <c r="D97" s="3" t="s">
        <v>18</v>
      </c>
      <c r="E97" s="3" t="s">
        <v>19</v>
      </c>
      <c r="F97" s="4" t="s">
        <v>20</v>
      </c>
      <c r="G97" s="8">
        <v>2</v>
      </c>
      <c r="H97" s="10" t="s">
        <v>21</v>
      </c>
      <c r="I97" s="10" t="s">
        <v>21</v>
      </c>
      <c r="J97" s="3" t="s">
        <v>103</v>
      </c>
      <c r="K97" s="4">
        <v>141</v>
      </c>
      <c r="L97" s="7">
        <v>7.3819999999999997</v>
      </c>
      <c r="M97" s="4">
        <v>88.81</v>
      </c>
      <c r="N97" s="7">
        <v>5.9119999999999999</v>
      </c>
      <c r="O97" s="4">
        <v>35.630000000000003</v>
      </c>
      <c r="P97" s="7">
        <v>2.7749999999999999</v>
      </c>
      <c r="Q97" s="7">
        <v>2.8109999999999999</v>
      </c>
      <c r="R97" s="4">
        <v>144.1</v>
      </c>
      <c r="S97" s="7">
        <v>11.59</v>
      </c>
      <c r="T97" s="29" t="s">
        <v>160</v>
      </c>
      <c r="U97" s="29" t="s">
        <v>166</v>
      </c>
      <c r="V97" s="29" t="s">
        <v>164</v>
      </c>
    </row>
    <row r="98" spans="1:22" x14ac:dyDescent="0.2">
      <c r="A98" s="2">
        <v>10138</v>
      </c>
      <c r="B98" s="3" t="s">
        <v>129</v>
      </c>
      <c r="C98" s="3" t="s">
        <v>130</v>
      </c>
      <c r="D98" s="3" t="s">
        <v>18</v>
      </c>
      <c r="E98" s="3" t="s">
        <v>19</v>
      </c>
      <c r="F98" s="4" t="s">
        <v>20</v>
      </c>
      <c r="G98" s="5">
        <v>1</v>
      </c>
      <c r="H98" s="6" t="s">
        <v>22</v>
      </c>
      <c r="I98" s="6" t="s">
        <v>22</v>
      </c>
      <c r="J98" s="3" t="s">
        <v>104</v>
      </c>
      <c r="K98" s="4">
        <v>137.5</v>
      </c>
      <c r="L98" s="7">
        <v>7.6890000000000001</v>
      </c>
      <c r="M98" s="4">
        <v>83.5</v>
      </c>
      <c r="N98" s="7">
        <v>6.0860000000000003</v>
      </c>
      <c r="O98" s="4">
        <v>41.83</v>
      </c>
      <c r="P98" s="7">
        <v>2.7480000000000002</v>
      </c>
      <c r="Q98" s="7">
        <v>2.7490000000000001</v>
      </c>
      <c r="R98" s="4">
        <v>145</v>
      </c>
      <c r="S98" s="7">
        <v>11.83</v>
      </c>
      <c r="T98" s="29" t="s">
        <v>161</v>
      </c>
      <c r="U98" s="29" t="s">
        <v>164</v>
      </c>
      <c r="V98" s="29" t="s">
        <v>167</v>
      </c>
    </row>
    <row r="99" spans="1:22" x14ac:dyDescent="0.2">
      <c r="A99" s="2">
        <v>10139</v>
      </c>
      <c r="B99" s="3" t="s">
        <v>129</v>
      </c>
      <c r="C99" s="3" t="s">
        <v>130</v>
      </c>
      <c r="D99" s="3" t="s">
        <v>18</v>
      </c>
      <c r="E99" s="3" t="s">
        <v>19</v>
      </c>
      <c r="F99" s="4" t="s">
        <v>20</v>
      </c>
      <c r="G99" s="5">
        <v>1</v>
      </c>
      <c r="H99" s="10" t="s">
        <v>21</v>
      </c>
      <c r="I99" s="10" t="s">
        <v>21</v>
      </c>
      <c r="J99" s="3" t="s">
        <v>106</v>
      </c>
      <c r="K99" s="4">
        <v>141.69999999999999</v>
      </c>
      <c r="L99" s="7">
        <v>7.4080000000000004</v>
      </c>
      <c r="M99" s="4">
        <v>89.61</v>
      </c>
      <c r="N99" s="7">
        <v>6.11</v>
      </c>
      <c r="O99" s="35" t="s">
        <v>137</v>
      </c>
      <c r="P99" s="7">
        <v>3.149</v>
      </c>
      <c r="Q99" s="7">
        <v>3.149</v>
      </c>
      <c r="R99" s="4">
        <v>143.69999999999999</v>
      </c>
      <c r="S99" s="7">
        <v>11.5</v>
      </c>
      <c r="T99" s="29" t="s">
        <v>157</v>
      </c>
      <c r="U99" s="29" t="s">
        <v>163</v>
      </c>
      <c r="V99" s="29" t="s">
        <v>164</v>
      </c>
    </row>
    <row r="100" spans="1:22" x14ac:dyDescent="0.2">
      <c r="A100" s="2">
        <v>10140</v>
      </c>
      <c r="B100" s="3" t="s">
        <v>129</v>
      </c>
      <c r="C100" s="3" t="s">
        <v>130</v>
      </c>
      <c r="D100" s="3" t="s">
        <v>18</v>
      </c>
      <c r="E100" s="3" t="s">
        <v>19</v>
      </c>
      <c r="F100" s="4" t="s">
        <v>20</v>
      </c>
      <c r="G100" s="8">
        <v>2</v>
      </c>
      <c r="H100" s="6" t="s">
        <v>22</v>
      </c>
      <c r="I100" s="6" t="s">
        <v>22</v>
      </c>
      <c r="J100" s="3" t="s">
        <v>107</v>
      </c>
      <c r="K100" s="4">
        <v>138.9</v>
      </c>
      <c r="L100" s="7">
        <v>8.0299999999999994</v>
      </c>
      <c r="M100" s="4">
        <v>83.28</v>
      </c>
      <c r="N100" s="7">
        <v>5.8659999999999997</v>
      </c>
      <c r="O100" s="4">
        <v>42.27</v>
      </c>
      <c r="P100" s="7">
        <v>2.601</v>
      </c>
      <c r="Q100" s="7">
        <v>2.694</v>
      </c>
      <c r="R100" s="4">
        <v>144</v>
      </c>
      <c r="S100" s="7">
        <v>11.65</v>
      </c>
      <c r="T100" s="29" t="s">
        <v>158</v>
      </c>
      <c r="U100" s="29" t="s">
        <v>164</v>
      </c>
      <c r="V100" s="29" t="s">
        <v>165</v>
      </c>
    </row>
    <row r="101" spans="1:22" x14ac:dyDescent="0.2">
      <c r="A101" s="2">
        <v>10141</v>
      </c>
      <c r="B101" s="3" t="s">
        <v>129</v>
      </c>
      <c r="C101" s="3" t="s">
        <v>130</v>
      </c>
      <c r="D101" s="3" t="s">
        <v>18</v>
      </c>
      <c r="E101" s="3" t="s">
        <v>19</v>
      </c>
      <c r="F101" s="4" t="s">
        <v>20</v>
      </c>
      <c r="G101" s="9">
        <v>3</v>
      </c>
      <c r="H101" s="6" t="s">
        <v>22</v>
      </c>
      <c r="I101" s="6" t="s">
        <v>22</v>
      </c>
      <c r="J101" s="3" t="s">
        <v>108</v>
      </c>
      <c r="K101" s="4">
        <v>137.69999999999999</v>
      </c>
      <c r="L101" s="7">
        <v>7.7359999999999998</v>
      </c>
      <c r="M101" s="4">
        <v>85.83</v>
      </c>
      <c r="N101" s="7">
        <v>6.36</v>
      </c>
      <c r="O101" s="35" t="s">
        <v>137</v>
      </c>
      <c r="P101" s="35" t="s">
        <v>137</v>
      </c>
      <c r="Q101" s="35" t="s">
        <v>137</v>
      </c>
      <c r="R101" s="4">
        <v>144.69999999999999</v>
      </c>
      <c r="S101" s="7">
        <v>10.82</v>
      </c>
      <c r="T101" s="29" t="s">
        <v>162</v>
      </c>
      <c r="U101" s="29" t="s">
        <v>165</v>
      </c>
      <c r="V101" s="29" t="s">
        <v>167</v>
      </c>
    </row>
    <row r="102" spans="1:22" x14ac:dyDescent="0.2">
      <c r="A102" s="2">
        <v>10142</v>
      </c>
      <c r="B102" s="3" t="s">
        <v>129</v>
      </c>
      <c r="C102" s="3" t="s">
        <v>130</v>
      </c>
      <c r="D102" s="3" t="s">
        <v>18</v>
      </c>
      <c r="E102" s="3" t="s">
        <v>19</v>
      </c>
      <c r="F102" s="4" t="s">
        <v>20</v>
      </c>
      <c r="G102" s="5">
        <v>1</v>
      </c>
      <c r="H102" s="10" t="s">
        <v>21</v>
      </c>
      <c r="I102" s="10" t="s">
        <v>21</v>
      </c>
      <c r="J102" s="3" t="s">
        <v>119</v>
      </c>
      <c r="K102" s="4">
        <v>141.69999999999999</v>
      </c>
      <c r="L102" s="7">
        <v>7.28</v>
      </c>
      <c r="M102" s="4">
        <v>89.39</v>
      </c>
      <c r="N102" s="7">
        <v>5.9589999999999996</v>
      </c>
      <c r="O102" s="4">
        <v>35.299999999999997</v>
      </c>
      <c r="P102" s="7">
        <v>2.9369999999999998</v>
      </c>
      <c r="Q102" s="7">
        <v>3.238</v>
      </c>
      <c r="R102" s="4">
        <v>144.9</v>
      </c>
      <c r="S102" s="7">
        <v>11.78</v>
      </c>
      <c r="T102" s="29" t="s">
        <v>157</v>
      </c>
      <c r="U102" s="29" t="s">
        <v>163</v>
      </c>
      <c r="V102" s="29" t="s">
        <v>164</v>
      </c>
    </row>
    <row r="103" spans="1:22" x14ac:dyDescent="0.2">
      <c r="A103" s="2">
        <v>10143</v>
      </c>
      <c r="B103" s="3" t="s">
        <v>129</v>
      </c>
      <c r="C103" s="3" t="s">
        <v>130</v>
      </c>
      <c r="D103" s="3" t="s">
        <v>18</v>
      </c>
      <c r="E103" s="3" t="s">
        <v>19</v>
      </c>
      <c r="F103" s="4" t="s">
        <v>20</v>
      </c>
      <c r="G103" s="8">
        <v>2</v>
      </c>
      <c r="H103" s="6" t="s">
        <v>22</v>
      </c>
      <c r="I103" s="6" t="s">
        <v>22</v>
      </c>
      <c r="J103" s="3" t="s">
        <v>120</v>
      </c>
      <c r="K103" s="4">
        <v>138.69999999999999</v>
      </c>
      <c r="L103" s="7">
        <v>8.093</v>
      </c>
      <c r="M103" s="4">
        <v>83.17</v>
      </c>
      <c r="N103" s="7">
        <v>5.8079999999999998</v>
      </c>
      <c r="O103" s="4">
        <v>41.52</v>
      </c>
      <c r="P103" s="7">
        <v>2.6779999999999999</v>
      </c>
      <c r="Q103" s="7">
        <v>2.7690000000000001</v>
      </c>
      <c r="R103" s="4">
        <v>143.69999999999999</v>
      </c>
      <c r="S103" s="7">
        <v>11.77</v>
      </c>
      <c r="T103" s="29" t="s">
        <v>158</v>
      </c>
      <c r="U103" s="29" t="s">
        <v>164</v>
      </c>
      <c r="V103" s="29" t="s">
        <v>165</v>
      </c>
    </row>
    <row r="104" spans="1:22" x14ac:dyDescent="0.2">
      <c r="A104" s="2">
        <v>10144</v>
      </c>
      <c r="B104" s="3" t="s">
        <v>129</v>
      </c>
      <c r="C104" s="3" t="s">
        <v>130</v>
      </c>
      <c r="D104" s="3" t="s">
        <v>18</v>
      </c>
      <c r="E104" s="3" t="s">
        <v>19</v>
      </c>
      <c r="F104" s="4" t="s">
        <v>20</v>
      </c>
      <c r="G104" s="9">
        <v>3</v>
      </c>
      <c r="H104" s="6" t="s">
        <v>22</v>
      </c>
      <c r="I104" s="6" t="s">
        <v>22</v>
      </c>
      <c r="J104" s="3" t="s">
        <v>121</v>
      </c>
      <c r="K104" s="4">
        <v>137.19999999999999</v>
      </c>
      <c r="L104" s="7">
        <v>7.766</v>
      </c>
      <c r="M104" s="4">
        <v>85.45</v>
      </c>
      <c r="N104" s="7">
        <v>6.4130000000000003</v>
      </c>
      <c r="O104" s="4">
        <v>43.74</v>
      </c>
      <c r="P104" s="7">
        <v>2.4500000000000002</v>
      </c>
      <c r="Q104" s="7">
        <v>2.52</v>
      </c>
      <c r="R104" s="4">
        <v>144.5</v>
      </c>
      <c r="S104" s="7">
        <v>11.35</v>
      </c>
      <c r="T104" s="29" t="s">
        <v>162</v>
      </c>
      <c r="U104" s="29" t="s">
        <v>165</v>
      </c>
      <c r="V104" s="29" t="s">
        <v>167</v>
      </c>
    </row>
    <row r="105" spans="1:22" s="55" customFormat="1" x14ac:dyDescent="0.2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8"/>
      <c r="L105" s="19"/>
      <c r="M105" s="18"/>
      <c r="N105" s="19"/>
      <c r="O105" s="18"/>
      <c r="P105" s="19"/>
      <c r="Q105" s="19"/>
      <c r="R105" s="18"/>
      <c r="S105" s="19"/>
      <c r="T105" s="12"/>
      <c r="U105" s="12"/>
      <c r="V105" s="12"/>
    </row>
    <row r="106" spans="1:22" x14ac:dyDescent="0.2">
      <c r="A106" s="2">
        <v>10145</v>
      </c>
      <c r="B106" s="3" t="s">
        <v>131</v>
      </c>
      <c r="C106" s="3" t="s">
        <v>132</v>
      </c>
      <c r="D106" s="3" t="s">
        <v>18</v>
      </c>
      <c r="E106" s="3" t="s">
        <v>19</v>
      </c>
      <c r="F106" s="3" t="s">
        <v>20</v>
      </c>
      <c r="G106" s="5">
        <v>1</v>
      </c>
      <c r="H106" s="10" t="s">
        <v>21</v>
      </c>
      <c r="I106" s="10" t="s">
        <v>21</v>
      </c>
      <c r="J106" s="3" t="s">
        <v>97</v>
      </c>
      <c r="K106" s="4">
        <v>142</v>
      </c>
      <c r="L106" s="7">
        <v>7.2560000000000002</v>
      </c>
      <c r="M106" s="4">
        <v>89.32</v>
      </c>
      <c r="N106" s="7">
        <v>5.8949999999999996</v>
      </c>
      <c r="O106" s="35">
        <v>34.46</v>
      </c>
      <c r="P106" s="11">
        <v>2.7989999999999999</v>
      </c>
      <c r="Q106" s="11">
        <v>3.4470000000000001</v>
      </c>
      <c r="R106" s="35" t="s">
        <v>137</v>
      </c>
      <c r="S106" s="7">
        <v>11.92</v>
      </c>
      <c r="T106" s="29" t="s">
        <v>157</v>
      </c>
      <c r="U106" s="29" t="s">
        <v>163</v>
      </c>
      <c r="V106" s="29" t="s">
        <v>164</v>
      </c>
    </row>
    <row r="107" spans="1:22" x14ac:dyDescent="0.2">
      <c r="A107" s="2">
        <v>10146</v>
      </c>
      <c r="B107" s="3" t="s">
        <v>131</v>
      </c>
      <c r="C107" s="3" t="s">
        <v>132</v>
      </c>
      <c r="D107" s="3" t="s">
        <v>18</v>
      </c>
      <c r="E107" s="3" t="s">
        <v>19</v>
      </c>
      <c r="F107" s="3" t="s">
        <v>20</v>
      </c>
      <c r="G107" s="8">
        <v>2</v>
      </c>
      <c r="H107" s="6" t="s">
        <v>22</v>
      </c>
      <c r="I107" s="6" t="s">
        <v>22</v>
      </c>
      <c r="J107" s="3" t="s">
        <v>98</v>
      </c>
      <c r="K107" s="4">
        <v>139.4</v>
      </c>
      <c r="L107" s="7">
        <v>8.1509999999999998</v>
      </c>
      <c r="M107" s="4">
        <v>83.6</v>
      </c>
      <c r="N107" s="7">
        <v>5.8029999999999999</v>
      </c>
      <c r="O107" s="35">
        <v>40.08</v>
      </c>
      <c r="P107" s="11">
        <v>2.5880000000000001</v>
      </c>
      <c r="Q107" s="11">
        <v>2.742</v>
      </c>
      <c r="R107" s="35" t="s">
        <v>137</v>
      </c>
      <c r="S107" s="7">
        <v>12.17</v>
      </c>
      <c r="T107" s="29" t="s">
        <v>158</v>
      </c>
      <c r="U107" s="29" t="s">
        <v>164</v>
      </c>
      <c r="V107" s="29" t="s">
        <v>165</v>
      </c>
    </row>
    <row r="108" spans="1:22" x14ac:dyDescent="0.2">
      <c r="A108" s="2">
        <v>10147</v>
      </c>
      <c r="B108" s="3" t="s">
        <v>131</v>
      </c>
      <c r="C108" s="3" t="s">
        <v>132</v>
      </c>
      <c r="D108" s="3" t="s">
        <v>18</v>
      </c>
      <c r="E108" s="3" t="s">
        <v>19</v>
      </c>
      <c r="F108" s="3" t="s">
        <v>20</v>
      </c>
      <c r="G108" s="9">
        <v>3</v>
      </c>
      <c r="H108" s="6" t="s">
        <v>22</v>
      </c>
      <c r="I108" s="6" t="s">
        <v>22</v>
      </c>
      <c r="J108" s="3" t="s">
        <v>99</v>
      </c>
      <c r="K108" s="4">
        <v>138.19999999999999</v>
      </c>
      <c r="L108" s="7">
        <v>7.8529999999999998</v>
      </c>
      <c r="M108" s="4">
        <v>83.89</v>
      </c>
      <c r="N108" s="7">
        <v>5.7690000000000001</v>
      </c>
      <c r="O108" s="35" t="s">
        <v>137</v>
      </c>
      <c r="P108" s="11">
        <v>2.4329999999999998</v>
      </c>
      <c r="Q108" s="11">
        <v>2.5939999999999999</v>
      </c>
      <c r="R108" s="35" t="s">
        <v>137</v>
      </c>
      <c r="S108" s="7">
        <v>11.33</v>
      </c>
      <c r="T108" s="29" t="s">
        <v>162</v>
      </c>
      <c r="U108" s="29" t="s">
        <v>165</v>
      </c>
      <c r="V108" s="29" t="s">
        <v>167</v>
      </c>
    </row>
    <row r="109" spans="1:22" x14ac:dyDescent="0.2">
      <c r="A109" s="2">
        <v>10148</v>
      </c>
      <c r="B109" s="3" t="s">
        <v>131</v>
      </c>
      <c r="C109" s="3" t="s">
        <v>132</v>
      </c>
      <c r="D109" s="3" t="s">
        <v>18</v>
      </c>
      <c r="E109" s="3" t="s">
        <v>19</v>
      </c>
      <c r="F109" s="3" t="s">
        <v>20</v>
      </c>
      <c r="G109" s="9">
        <v>3</v>
      </c>
      <c r="H109" s="10" t="s">
        <v>21</v>
      </c>
      <c r="I109" s="10" t="s">
        <v>21</v>
      </c>
      <c r="J109" s="3" t="s">
        <v>111</v>
      </c>
      <c r="K109" s="4">
        <v>141.19999999999999</v>
      </c>
      <c r="L109" s="7">
        <v>7.1520000000000001</v>
      </c>
      <c r="M109" s="4">
        <v>89.5</v>
      </c>
      <c r="N109" s="7">
        <v>6.0179999999999998</v>
      </c>
      <c r="O109" s="35">
        <v>35.979999999999997</v>
      </c>
      <c r="P109" s="11">
        <v>3.1190000000000002</v>
      </c>
      <c r="Q109" s="11">
        <v>3.49</v>
      </c>
      <c r="R109" s="35" t="s">
        <v>137</v>
      </c>
      <c r="S109" s="7">
        <v>11.23</v>
      </c>
      <c r="T109" s="29" t="s">
        <v>159</v>
      </c>
      <c r="U109" s="29" t="s">
        <v>163</v>
      </c>
      <c r="V109" s="29" t="s">
        <v>166</v>
      </c>
    </row>
    <row r="110" spans="1:22" x14ac:dyDescent="0.2">
      <c r="A110" s="2">
        <v>10149</v>
      </c>
      <c r="B110" s="3" t="s">
        <v>131</v>
      </c>
      <c r="C110" s="3" t="s">
        <v>132</v>
      </c>
      <c r="D110" s="3" t="s">
        <v>18</v>
      </c>
      <c r="E110" s="3" t="s">
        <v>19</v>
      </c>
      <c r="F110" s="3" t="s">
        <v>20</v>
      </c>
      <c r="G110" s="8">
        <v>2</v>
      </c>
      <c r="H110" s="10" t="s">
        <v>21</v>
      </c>
      <c r="I110" s="10" t="s">
        <v>21</v>
      </c>
      <c r="J110" s="3" t="s">
        <v>103</v>
      </c>
      <c r="K110" s="4">
        <v>141.6</v>
      </c>
      <c r="L110" s="7">
        <v>7.5330000000000004</v>
      </c>
      <c r="M110" s="4">
        <v>88.3</v>
      </c>
      <c r="N110" s="7">
        <v>5.8879999999999999</v>
      </c>
      <c r="O110" s="35">
        <v>36.86</v>
      </c>
      <c r="P110" s="11">
        <v>2.62</v>
      </c>
      <c r="Q110" s="11">
        <v>2.9220000000000002</v>
      </c>
      <c r="R110" s="35" t="s">
        <v>137</v>
      </c>
      <c r="S110" s="7">
        <v>11.11</v>
      </c>
      <c r="T110" s="29" t="s">
        <v>160</v>
      </c>
      <c r="U110" s="29" t="s">
        <v>166</v>
      </c>
      <c r="V110" s="29" t="s">
        <v>164</v>
      </c>
    </row>
    <row r="111" spans="1:22" x14ac:dyDescent="0.2">
      <c r="A111" s="2">
        <v>10150</v>
      </c>
      <c r="B111" s="3" t="s">
        <v>131</v>
      </c>
      <c r="C111" s="3" t="s">
        <v>132</v>
      </c>
      <c r="D111" s="3" t="s">
        <v>18</v>
      </c>
      <c r="E111" s="3" t="s">
        <v>19</v>
      </c>
      <c r="F111" s="3" t="s">
        <v>20</v>
      </c>
      <c r="G111" s="5">
        <v>1</v>
      </c>
      <c r="H111" s="6" t="s">
        <v>22</v>
      </c>
      <c r="I111" s="6" t="s">
        <v>22</v>
      </c>
      <c r="J111" s="3" t="s">
        <v>104</v>
      </c>
      <c r="K111" s="4">
        <v>138.69999999999999</v>
      </c>
      <c r="L111" s="7">
        <v>8.1449999999999996</v>
      </c>
      <c r="M111" s="4">
        <v>84.11</v>
      </c>
      <c r="N111" s="7">
        <v>5.9349999999999996</v>
      </c>
      <c r="O111" s="35">
        <v>40.57</v>
      </c>
      <c r="P111" s="11">
        <v>2.556</v>
      </c>
      <c r="Q111" s="11">
        <v>2.7429999999999999</v>
      </c>
      <c r="R111" s="35" t="s">
        <v>137</v>
      </c>
      <c r="S111" s="7">
        <v>11.1</v>
      </c>
      <c r="T111" s="29" t="s">
        <v>161</v>
      </c>
      <c r="U111" s="29" t="s">
        <v>164</v>
      </c>
      <c r="V111" s="29" t="s">
        <v>167</v>
      </c>
    </row>
    <row r="112" spans="1:22" x14ac:dyDescent="0.2">
      <c r="A112" s="2">
        <v>10151</v>
      </c>
      <c r="B112" s="3" t="s">
        <v>131</v>
      </c>
      <c r="C112" s="3" t="s">
        <v>132</v>
      </c>
      <c r="D112" s="3" t="s">
        <v>18</v>
      </c>
      <c r="E112" s="3" t="s">
        <v>19</v>
      </c>
      <c r="F112" s="3" t="s">
        <v>20</v>
      </c>
      <c r="G112" s="5">
        <v>1</v>
      </c>
      <c r="H112" s="10" t="s">
        <v>21</v>
      </c>
      <c r="I112" s="10" t="s">
        <v>21</v>
      </c>
      <c r="J112" s="3" t="s">
        <v>107</v>
      </c>
      <c r="K112" s="4">
        <v>142.4</v>
      </c>
      <c r="L112" s="7">
        <v>7.6420000000000003</v>
      </c>
      <c r="M112" s="4">
        <v>88.39</v>
      </c>
      <c r="N112" s="7">
        <v>6.0819999999999999</v>
      </c>
      <c r="O112" s="35">
        <v>36.19</v>
      </c>
      <c r="P112" s="11">
        <v>3.024</v>
      </c>
      <c r="Q112" s="11">
        <v>3.3940000000000001</v>
      </c>
      <c r="R112" s="35" t="s">
        <v>137</v>
      </c>
      <c r="S112" s="7">
        <v>11.15</v>
      </c>
      <c r="T112" s="29" t="s">
        <v>157</v>
      </c>
      <c r="U112" s="29" t="s">
        <v>163</v>
      </c>
      <c r="V112" s="29" t="s">
        <v>164</v>
      </c>
    </row>
    <row r="113" spans="1:22" x14ac:dyDescent="0.2">
      <c r="A113" s="2">
        <v>10152</v>
      </c>
      <c r="B113" s="3" t="s">
        <v>131</v>
      </c>
      <c r="C113" s="3" t="s">
        <v>132</v>
      </c>
      <c r="D113" s="3" t="s">
        <v>18</v>
      </c>
      <c r="E113" s="3" t="s">
        <v>19</v>
      </c>
      <c r="F113" s="3" t="s">
        <v>20</v>
      </c>
      <c r="G113" s="8">
        <v>2</v>
      </c>
      <c r="H113" s="6" t="s">
        <v>22</v>
      </c>
      <c r="I113" s="6" t="s">
        <v>22</v>
      </c>
      <c r="J113" s="3" t="s">
        <v>108</v>
      </c>
      <c r="K113" s="4">
        <v>136.9</v>
      </c>
      <c r="L113" s="7">
        <v>7.4870000000000001</v>
      </c>
      <c r="M113" s="4">
        <v>84.96</v>
      </c>
      <c r="N113" s="7">
        <v>5.9640000000000004</v>
      </c>
      <c r="O113" s="35">
        <v>43.39</v>
      </c>
      <c r="P113" s="11">
        <v>2.2810000000000001</v>
      </c>
      <c r="Q113" s="11">
        <v>2.5779999999999998</v>
      </c>
      <c r="R113" s="35" t="s">
        <v>137</v>
      </c>
      <c r="S113" s="7">
        <v>10.96</v>
      </c>
      <c r="T113" s="29" t="s">
        <v>158</v>
      </c>
      <c r="U113" s="29" t="s">
        <v>164</v>
      </c>
      <c r="V113" s="29" t="s">
        <v>165</v>
      </c>
    </row>
    <row r="114" spans="1:22" x14ac:dyDescent="0.2">
      <c r="A114" s="2">
        <v>10153</v>
      </c>
      <c r="B114" s="3" t="s">
        <v>131</v>
      </c>
      <c r="C114" s="3" t="s">
        <v>132</v>
      </c>
      <c r="D114" s="3" t="s">
        <v>18</v>
      </c>
      <c r="E114" s="3" t="s">
        <v>19</v>
      </c>
      <c r="F114" s="3" t="s">
        <v>20</v>
      </c>
      <c r="G114" s="9">
        <v>3</v>
      </c>
      <c r="H114" s="6" t="s">
        <v>22</v>
      </c>
      <c r="I114" s="6" t="s">
        <v>22</v>
      </c>
      <c r="J114" s="3" t="s">
        <v>113</v>
      </c>
      <c r="K114" s="4">
        <v>138.1</v>
      </c>
      <c r="L114" s="7">
        <v>7.6929999999999996</v>
      </c>
      <c r="M114" s="4">
        <v>84.8</v>
      </c>
      <c r="N114" s="7">
        <v>6.1070000000000002</v>
      </c>
      <c r="O114" s="35">
        <v>42.45</v>
      </c>
      <c r="P114" s="11">
        <v>2.6789999999999998</v>
      </c>
      <c r="Q114" s="11">
        <v>2.681</v>
      </c>
      <c r="R114" s="35" t="s">
        <v>137</v>
      </c>
      <c r="S114" s="7">
        <v>10.88</v>
      </c>
      <c r="T114" s="29" t="s">
        <v>162</v>
      </c>
      <c r="U114" s="29" t="s">
        <v>165</v>
      </c>
      <c r="V114" s="29" t="s">
        <v>167</v>
      </c>
    </row>
    <row r="115" spans="1:22" x14ac:dyDescent="0.2">
      <c r="A115" s="2">
        <v>10154</v>
      </c>
      <c r="B115" s="3" t="s">
        <v>131</v>
      </c>
      <c r="C115" s="3" t="s">
        <v>132</v>
      </c>
      <c r="D115" s="3" t="s">
        <v>18</v>
      </c>
      <c r="E115" s="3" t="s">
        <v>19</v>
      </c>
      <c r="F115" s="3" t="s">
        <v>20</v>
      </c>
      <c r="G115" s="5">
        <v>1</v>
      </c>
      <c r="H115" s="10" t="s">
        <v>21</v>
      </c>
      <c r="I115" s="10" t="s">
        <v>21</v>
      </c>
      <c r="J115" s="3" t="s">
        <v>119</v>
      </c>
      <c r="K115" s="4">
        <v>140.80000000000001</v>
      </c>
      <c r="L115" s="7">
        <v>7.1660000000000004</v>
      </c>
      <c r="M115" s="4">
        <v>89.19</v>
      </c>
      <c r="N115" s="7">
        <v>5.96</v>
      </c>
      <c r="O115" s="35">
        <v>35.82</v>
      </c>
      <c r="P115" s="11">
        <v>2.738</v>
      </c>
      <c r="Q115" s="11">
        <v>3.0390000000000001</v>
      </c>
      <c r="R115" s="35" t="s">
        <v>137</v>
      </c>
      <c r="S115" s="7">
        <v>11.49</v>
      </c>
      <c r="T115" s="29" t="s">
        <v>157</v>
      </c>
      <c r="U115" s="29" t="s">
        <v>163</v>
      </c>
      <c r="V115" s="29" t="s">
        <v>164</v>
      </c>
    </row>
    <row r="116" spans="1:22" x14ac:dyDescent="0.2">
      <c r="A116" s="2">
        <v>10155</v>
      </c>
      <c r="B116" s="3" t="s">
        <v>131</v>
      </c>
      <c r="C116" s="3" t="s">
        <v>132</v>
      </c>
      <c r="D116" s="3" t="s">
        <v>18</v>
      </c>
      <c r="E116" s="3" t="s">
        <v>19</v>
      </c>
      <c r="F116" s="3" t="s">
        <v>20</v>
      </c>
      <c r="G116" s="8">
        <v>2</v>
      </c>
      <c r="H116" s="6" t="s">
        <v>22</v>
      </c>
      <c r="I116" s="6" t="s">
        <v>22</v>
      </c>
      <c r="J116" s="3" t="s">
        <v>120</v>
      </c>
      <c r="K116" s="4">
        <v>137.4</v>
      </c>
      <c r="L116" s="7">
        <v>7.3869999999999996</v>
      </c>
      <c r="M116" s="4">
        <v>83.94</v>
      </c>
      <c r="N116" s="7">
        <v>5.8410000000000002</v>
      </c>
      <c r="O116" s="35">
        <v>42.97</v>
      </c>
      <c r="P116" s="11">
        <v>2.399</v>
      </c>
      <c r="Q116" s="11">
        <v>2.5840000000000001</v>
      </c>
      <c r="R116" s="35" t="s">
        <v>137</v>
      </c>
      <c r="S116" s="7">
        <v>11.29</v>
      </c>
      <c r="T116" s="29" t="s">
        <v>158</v>
      </c>
      <c r="U116" s="29" t="s">
        <v>164</v>
      </c>
      <c r="V116" s="29" t="s">
        <v>165</v>
      </c>
    </row>
    <row r="117" spans="1:22" x14ac:dyDescent="0.2">
      <c r="A117" s="2">
        <v>10156</v>
      </c>
      <c r="B117" s="3" t="s">
        <v>131</v>
      </c>
      <c r="C117" s="3" t="s">
        <v>132</v>
      </c>
      <c r="D117" s="3" t="s">
        <v>18</v>
      </c>
      <c r="E117" s="3" t="s">
        <v>19</v>
      </c>
      <c r="F117" s="3" t="s">
        <v>20</v>
      </c>
      <c r="G117" s="9">
        <v>3</v>
      </c>
      <c r="H117" s="6" t="s">
        <v>22</v>
      </c>
      <c r="I117" s="6" t="s">
        <v>22</v>
      </c>
      <c r="J117" s="3" t="s">
        <v>121</v>
      </c>
      <c r="K117" s="4">
        <v>138.19999999999999</v>
      </c>
      <c r="L117" s="7">
        <v>7.9509999999999996</v>
      </c>
      <c r="M117" s="4">
        <v>84.94</v>
      </c>
      <c r="N117" s="7">
        <v>6.2119999999999997</v>
      </c>
      <c r="O117" s="35" t="s">
        <v>137</v>
      </c>
      <c r="P117" s="11">
        <v>2.6419999999999999</v>
      </c>
      <c r="Q117" s="11">
        <v>2.6850000000000001</v>
      </c>
      <c r="R117" s="35" t="s">
        <v>137</v>
      </c>
      <c r="S117" s="7">
        <v>11.47</v>
      </c>
      <c r="T117" s="29" t="s">
        <v>162</v>
      </c>
      <c r="U117" s="29" t="s">
        <v>165</v>
      </c>
      <c r="V117" s="29" t="s">
        <v>167</v>
      </c>
    </row>
    <row r="118" spans="1:22" s="55" customFormat="1" x14ac:dyDescent="0.2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19"/>
      <c r="M118" s="18"/>
      <c r="N118" s="19"/>
      <c r="O118" s="18"/>
      <c r="P118" s="19"/>
      <c r="Q118" s="19"/>
      <c r="R118" s="18"/>
      <c r="S118" s="19"/>
      <c r="T118" s="12"/>
      <c r="U118" s="12"/>
      <c r="V118" s="12"/>
    </row>
    <row r="119" spans="1:22" x14ac:dyDescent="0.2">
      <c r="A119" s="2">
        <v>10157</v>
      </c>
      <c r="B119" s="3" t="s">
        <v>125</v>
      </c>
      <c r="C119" s="3" t="s">
        <v>126</v>
      </c>
      <c r="D119" s="3" t="s">
        <v>18</v>
      </c>
      <c r="E119" s="3" t="s">
        <v>19</v>
      </c>
      <c r="F119" s="4" t="s">
        <v>20</v>
      </c>
      <c r="G119" s="5">
        <v>1</v>
      </c>
      <c r="H119" s="10" t="s">
        <v>21</v>
      </c>
      <c r="I119" s="10" t="s">
        <v>21</v>
      </c>
      <c r="J119" s="3" t="s">
        <v>97</v>
      </c>
      <c r="K119" s="4">
        <v>141.9</v>
      </c>
      <c r="L119" s="7">
        <v>7.4089999999999998</v>
      </c>
      <c r="M119" s="4">
        <v>89.27</v>
      </c>
      <c r="N119" s="7">
        <v>6.0289999999999999</v>
      </c>
      <c r="O119" s="4">
        <v>35.200000000000003</v>
      </c>
      <c r="P119" s="7">
        <v>2.9969999999999999</v>
      </c>
      <c r="Q119" s="11">
        <v>3.4710000000000001</v>
      </c>
      <c r="R119" s="35" t="s">
        <v>137</v>
      </c>
      <c r="S119" s="35" t="s">
        <v>137</v>
      </c>
      <c r="T119" s="29" t="s">
        <v>157</v>
      </c>
      <c r="U119" s="29" t="s">
        <v>163</v>
      </c>
      <c r="V119" s="29" t="s">
        <v>164</v>
      </c>
    </row>
    <row r="120" spans="1:22" x14ac:dyDescent="0.2">
      <c r="A120" s="2">
        <v>10158</v>
      </c>
      <c r="B120" s="3" t="s">
        <v>125</v>
      </c>
      <c r="C120" s="3" t="s">
        <v>126</v>
      </c>
      <c r="D120" s="3" t="s">
        <v>18</v>
      </c>
      <c r="E120" s="3" t="s">
        <v>19</v>
      </c>
      <c r="F120" s="4" t="s">
        <v>20</v>
      </c>
      <c r="G120" s="8">
        <v>2</v>
      </c>
      <c r="H120" s="6" t="s">
        <v>22</v>
      </c>
      <c r="I120" s="6" t="s">
        <v>22</v>
      </c>
      <c r="J120" s="3" t="s">
        <v>98</v>
      </c>
      <c r="K120" s="4">
        <v>138.69999999999999</v>
      </c>
      <c r="L120" s="7">
        <v>7.9390000000000001</v>
      </c>
      <c r="M120" s="4">
        <v>83.79</v>
      </c>
      <c r="N120" s="7">
        <v>5.7759999999999998</v>
      </c>
      <c r="O120" s="4">
        <v>42.1</v>
      </c>
      <c r="P120" s="7">
        <v>2.4820000000000002</v>
      </c>
      <c r="Q120" s="11">
        <v>2.7189999999999999</v>
      </c>
      <c r="R120" s="4">
        <v>143.6</v>
      </c>
      <c r="S120" s="7">
        <v>11.8</v>
      </c>
      <c r="T120" s="29" t="s">
        <v>158</v>
      </c>
      <c r="U120" s="29" t="s">
        <v>164</v>
      </c>
      <c r="V120" s="29" t="s">
        <v>165</v>
      </c>
    </row>
    <row r="121" spans="1:22" x14ac:dyDescent="0.2">
      <c r="A121" s="2">
        <v>10159</v>
      </c>
      <c r="B121" s="3" t="s">
        <v>125</v>
      </c>
      <c r="C121" s="3" t="s">
        <v>126</v>
      </c>
      <c r="D121" s="3" t="s">
        <v>18</v>
      </c>
      <c r="E121" s="3" t="s">
        <v>19</v>
      </c>
      <c r="F121" s="4" t="s">
        <v>20</v>
      </c>
      <c r="G121" s="9">
        <v>3</v>
      </c>
      <c r="H121" s="6" t="s">
        <v>22</v>
      </c>
      <c r="I121" s="6" t="s">
        <v>22</v>
      </c>
      <c r="J121" s="3" t="s">
        <v>99</v>
      </c>
      <c r="K121" s="4">
        <v>137.6</v>
      </c>
      <c r="L121" s="7">
        <v>7.8150000000000004</v>
      </c>
      <c r="M121" s="4">
        <v>84.23</v>
      </c>
      <c r="N121" s="7">
        <v>6.0119999999999996</v>
      </c>
      <c r="O121" s="4">
        <v>42.23</v>
      </c>
      <c r="P121" s="7">
        <v>2.3149999999999999</v>
      </c>
      <c r="Q121" s="11">
        <v>2.3959999999999999</v>
      </c>
      <c r="R121" s="4">
        <v>143.80000000000001</v>
      </c>
      <c r="S121" s="7">
        <v>10.93</v>
      </c>
      <c r="T121" s="29" t="s">
        <v>162</v>
      </c>
      <c r="U121" s="29" t="s">
        <v>165</v>
      </c>
      <c r="V121" s="29" t="s">
        <v>167</v>
      </c>
    </row>
    <row r="122" spans="1:22" x14ac:dyDescent="0.2">
      <c r="A122" s="2">
        <v>10160</v>
      </c>
      <c r="B122" s="3" t="s">
        <v>125</v>
      </c>
      <c r="C122" s="3" t="s">
        <v>126</v>
      </c>
      <c r="D122" s="3" t="s">
        <v>18</v>
      </c>
      <c r="E122" s="3" t="s">
        <v>19</v>
      </c>
      <c r="F122" s="4" t="s">
        <v>20</v>
      </c>
      <c r="G122" s="9">
        <v>3</v>
      </c>
      <c r="H122" s="10" t="s">
        <v>21</v>
      </c>
      <c r="I122" s="10" t="s">
        <v>21</v>
      </c>
      <c r="J122" s="3" t="s">
        <v>102</v>
      </c>
      <c r="K122" s="4">
        <v>141.9</v>
      </c>
      <c r="L122" s="7">
        <v>7.3680000000000003</v>
      </c>
      <c r="M122" s="4">
        <v>89.32</v>
      </c>
      <c r="N122" s="7">
        <v>6.109</v>
      </c>
      <c r="O122" s="4">
        <v>35.36</v>
      </c>
      <c r="P122" s="7">
        <v>3.2429999999999999</v>
      </c>
      <c r="Q122" s="11">
        <v>3.7919999999999998</v>
      </c>
      <c r="R122" s="4">
        <v>143.9</v>
      </c>
      <c r="S122" s="7">
        <v>11.23</v>
      </c>
      <c r="T122" s="29" t="s">
        <v>159</v>
      </c>
      <c r="U122" s="29" t="s">
        <v>163</v>
      </c>
      <c r="V122" s="29" t="s">
        <v>166</v>
      </c>
    </row>
    <row r="123" spans="1:22" x14ac:dyDescent="0.2">
      <c r="A123" s="2">
        <v>10161</v>
      </c>
      <c r="B123" s="3" t="s">
        <v>125</v>
      </c>
      <c r="C123" s="3" t="s">
        <v>126</v>
      </c>
      <c r="D123" s="3" t="s">
        <v>18</v>
      </c>
      <c r="E123" s="3" t="s">
        <v>19</v>
      </c>
      <c r="F123" s="4" t="s">
        <v>20</v>
      </c>
      <c r="G123" s="8">
        <v>2</v>
      </c>
      <c r="H123" s="10" t="s">
        <v>21</v>
      </c>
      <c r="I123" s="10" t="s">
        <v>21</v>
      </c>
      <c r="J123" s="3" t="s">
        <v>111</v>
      </c>
      <c r="K123" s="4">
        <v>141.1</v>
      </c>
      <c r="L123" s="7">
        <v>7.4470000000000001</v>
      </c>
      <c r="M123" s="4">
        <v>88.13</v>
      </c>
      <c r="N123" s="7">
        <v>5.8220000000000001</v>
      </c>
      <c r="O123" s="4">
        <v>38.46</v>
      </c>
      <c r="P123" s="7">
        <v>2.504</v>
      </c>
      <c r="Q123" s="11">
        <v>2.6589999999999998</v>
      </c>
      <c r="R123" s="4">
        <v>141.9</v>
      </c>
      <c r="S123" s="7">
        <v>11.18</v>
      </c>
      <c r="T123" s="29" t="s">
        <v>160</v>
      </c>
      <c r="U123" s="29" t="s">
        <v>166</v>
      </c>
      <c r="V123" s="29" t="s">
        <v>164</v>
      </c>
    </row>
    <row r="124" spans="1:22" x14ac:dyDescent="0.2">
      <c r="A124" s="2">
        <v>10162</v>
      </c>
      <c r="B124" s="3" t="s">
        <v>125</v>
      </c>
      <c r="C124" s="3" t="s">
        <v>126</v>
      </c>
      <c r="D124" s="3" t="s">
        <v>18</v>
      </c>
      <c r="E124" s="3" t="s">
        <v>19</v>
      </c>
      <c r="F124" s="4" t="s">
        <v>20</v>
      </c>
      <c r="G124" s="5">
        <v>1</v>
      </c>
      <c r="H124" s="6" t="s">
        <v>22</v>
      </c>
      <c r="I124" s="6" t="s">
        <v>22</v>
      </c>
      <c r="J124" s="3" t="s">
        <v>103</v>
      </c>
      <c r="K124" s="4">
        <v>138</v>
      </c>
      <c r="L124" s="7">
        <v>7.9290000000000003</v>
      </c>
      <c r="M124" s="4">
        <v>83.73</v>
      </c>
      <c r="N124" s="7">
        <v>5.96</v>
      </c>
      <c r="O124" s="4">
        <v>41.09</v>
      </c>
      <c r="P124" s="7">
        <v>2.4649999999999999</v>
      </c>
      <c r="Q124" s="11">
        <v>2.6320000000000001</v>
      </c>
      <c r="R124" s="4">
        <v>144.69999999999999</v>
      </c>
      <c r="S124" s="7">
        <v>11.63</v>
      </c>
      <c r="T124" s="29" t="s">
        <v>161</v>
      </c>
      <c r="U124" s="29" t="s">
        <v>164</v>
      </c>
      <c r="V124" s="29" t="s">
        <v>167</v>
      </c>
    </row>
    <row r="125" spans="1:22" x14ac:dyDescent="0.2">
      <c r="A125" s="2">
        <v>10163</v>
      </c>
      <c r="B125" s="3" t="s">
        <v>125</v>
      </c>
      <c r="C125" s="3" t="s">
        <v>126</v>
      </c>
      <c r="D125" s="3" t="s">
        <v>18</v>
      </c>
      <c r="E125" s="3" t="s">
        <v>19</v>
      </c>
      <c r="F125" s="4" t="s">
        <v>20</v>
      </c>
      <c r="G125" s="5">
        <v>1</v>
      </c>
      <c r="H125" s="10" t="s">
        <v>21</v>
      </c>
      <c r="I125" s="10" t="s">
        <v>21</v>
      </c>
      <c r="J125" s="3" t="s">
        <v>106</v>
      </c>
      <c r="K125" s="4">
        <v>141.30000000000001</v>
      </c>
      <c r="L125" s="7">
        <v>7.0270000000000001</v>
      </c>
      <c r="M125" s="4">
        <v>88.93</v>
      </c>
      <c r="N125" s="7">
        <v>5.9119999999999999</v>
      </c>
      <c r="O125" s="4">
        <v>35.92</v>
      </c>
      <c r="P125" s="7">
        <v>2.972</v>
      </c>
      <c r="Q125" s="11">
        <v>3.4209999999999998</v>
      </c>
      <c r="R125" s="4">
        <v>143.69999999999999</v>
      </c>
      <c r="S125" s="7">
        <v>11.17</v>
      </c>
      <c r="T125" s="29" t="s">
        <v>157</v>
      </c>
      <c r="U125" s="29" t="s">
        <v>163</v>
      </c>
      <c r="V125" s="29" t="s">
        <v>164</v>
      </c>
    </row>
    <row r="126" spans="1:22" x14ac:dyDescent="0.2">
      <c r="A126" s="2">
        <v>10164</v>
      </c>
      <c r="B126" s="3" t="s">
        <v>125</v>
      </c>
      <c r="C126" s="3" t="s">
        <v>126</v>
      </c>
      <c r="D126" s="3" t="s">
        <v>18</v>
      </c>
      <c r="E126" s="3" t="s">
        <v>19</v>
      </c>
      <c r="F126" s="4" t="s">
        <v>20</v>
      </c>
      <c r="G126" s="8">
        <v>2</v>
      </c>
      <c r="H126" s="6" t="s">
        <v>22</v>
      </c>
      <c r="I126" s="6" t="s">
        <v>22</v>
      </c>
      <c r="J126" s="3" t="s">
        <v>107</v>
      </c>
      <c r="K126" s="4">
        <v>138.4</v>
      </c>
      <c r="L126" s="7">
        <v>7.6779999999999999</v>
      </c>
      <c r="M126" s="4">
        <v>84.11</v>
      </c>
      <c r="N126" s="7">
        <v>5.8760000000000003</v>
      </c>
      <c r="O126" s="4">
        <v>42.83</v>
      </c>
      <c r="P126" s="7">
        <v>2.4049999999999998</v>
      </c>
      <c r="Q126" s="11">
        <v>2.734</v>
      </c>
      <c r="R126" s="4">
        <v>143.1</v>
      </c>
      <c r="S126" s="7">
        <v>11.51</v>
      </c>
      <c r="T126" s="29" t="s">
        <v>158</v>
      </c>
      <c r="U126" s="29" t="s">
        <v>164</v>
      </c>
      <c r="V126" s="29" t="s">
        <v>165</v>
      </c>
    </row>
    <row r="127" spans="1:22" x14ac:dyDescent="0.2">
      <c r="A127" s="2">
        <v>10165</v>
      </c>
      <c r="B127" s="3" t="s">
        <v>125</v>
      </c>
      <c r="C127" s="3" t="s">
        <v>126</v>
      </c>
      <c r="D127" s="3" t="s">
        <v>18</v>
      </c>
      <c r="E127" s="3" t="s">
        <v>19</v>
      </c>
      <c r="F127" s="4" t="s">
        <v>20</v>
      </c>
      <c r="G127" s="9">
        <v>3</v>
      </c>
      <c r="H127" s="6" t="s">
        <v>22</v>
      </c>
      <c r="I127" s="6" t="s">
        <v>22</v>
      </c>
      <c r="J127" s="3" t="s">
        <v>108</v>
      </c>
      <c r="K127" s="4">
        <v>137.4</v>
      </c>
      <c r="L127" s="7">
        <v>7.6779999999999999</v>
      </c>
      <c r="M127" s="4">
        <v>84.89</v>
      </c>
      <c r="N127" s="7">
        <v>6.2640000000000002</v>
      </c>
      <c r="O127" s="4">
        <v>43.64</v>
      </c>
      <c r="P127" s="7">
        <v>2.5720000000000001</v>
      </c>
      <c r="Q127" s="11">
        <v>2.6440000000000001</v>
      </c>
      <c r="R127" s="4">
        <v>143.5</v>
      </c>
      <c r="S127" s="7">
        <v>10.62</v>
      </c>
      <c r="T127" s="29" t="s">
        <v>162</v>
      </c>
      <c r="U127" s="29" t="s">
        <v>165</v>
      </c>
      <c r="V127" s="29" t="s">
        <v>167</v>
      </c>
    </row>
    <row r="128" spans="1:22" x14ac:dyDescent="0.2">
      <c r="A128" s="2">
        <v>10166</v>
      </c>
      <c r="B128" s="3" t="s">
        <v>125</v>
      </c>
      <c r="C128" s="3" t="s">
        <v>126</v>
      </c>
      <c r="D128" s="3" t="s">
        <v>18</v>
      </c>
      <c r="E128" s="3" t="s">
        <v>19</v>
      </c>
      <c r="F128" s="4" t="s">
        <v>20</v>
      </c>
      <c r="G128" s="5">
        <v>1</v>
      </c>
      <c r="H128" s="10" t="s">
        <v>21</v>
      </c>
      <c r="I128" s="10" t="s">
        <v>21</v>
      </c>
      <c r="J128" s="3" t="s">
        <v>119</v>
      </c>
      <c r="K128" s="4">
        <v>141.4</v>
      </c>
      <c r="L128" s="7">
        <v>7.226</v>
      </c>
      <c r="M128" s="4">
        <v>89.17</v>
      </c>
      <c r="N128" s="7">
        <v>5.96</v>
      </c>
      <c r="O128" s="4">
        <v>34.840000000000003</v>
      </c>
      <c r="P128" s="7">
        <v>2.9689999999999999</v>
      </c>
      <c r="Q128" s="11">
        <v>3.2570000000000001</v>
      </c>
      <c r="R128" s="4">
        <v>144.4</v>
      </c>
      <c r="S128" s="7">
        <v>11.66</v>
      </c>
      <c r="T128" s="29" t="s">
        <v>157</v>
      </c>
      <c r="U128" s="29" t="s">
        <v>163</v>
      </c>
      <c r="V128" s="29" t="s">
        <v>164</v>
      </c>
    </row>
    <row r="129" spans="1:22" x14ac:dyDescent="0.2">
      <c r="A129" s="2">
        <v>10167</v>
      </c>
      <c r="B129" s="3" t="s">
        <v>125</v>
      </c>
      <c r="C129" s="3" t="s">
        <v>126</v>
      </c>
      <c r="D129" s="3" t="s">
        <v>18</v>
      </c>
      <c r="E129" s="3" t="s">
        <v>19</v>
      </c>
      <c r="F129" s="4" t="s">
        <v>20</v>
      </c>
      <c r="G129" s="8">
        <v>2</v>
      </c>
      <c r="H129" s="6" t="s">
        <v>22</v>
      </c>
      <c r="I129" s="6" t="s">
        <v>22</v>
      </c>
      <c r="J129" s="3" t="s">
        <v>120</v>
      </c>
      <c r="K129" s="4">
        <v>138.4</v>
      </c>
      <c r="L129" s="7">
        <v>7.968</v>
      </c>
      <c r="M129" s="4">
        <v>83.46</v>
      </c>
      <c r="N129" s="7">
        <v>5.8360000000000003</v>
      </c>
      <c r="O129" s="4">
        <v>42.21</v>
      </c>
      <c r="P129" s="7">
        <v>2.621</v>
      </c>
      <c r="Q129" s="11">
        <v>2.7069999999999999</v>
      </c>
      <c r="R129" s="4">
        <v>143.1</v>
      </c>
      <c r="S129" s="7">
        <v>11.46</v>
      </c>
      <c r="T129" s="29" t="s">
        <v>158</v>
      </c>
      <c r="U129" s="29" t="s">
        <v>164</v>
      </c>
      <c r="V129" s="29" t="s">
        <v>165</v>
      </c>
    </row>
    <row r="130" spans="1:22" x14ac:dyDescent="0.2">
      <c r="A130" s="2">
        <v>10168</v>
      </c>
      <c r="B130" s="3" t="s">
        <v>125</v>
      </c>
      <c r="C130" s="3" t="s">
        <v>126</v>
      </c>
      <c r="D130" s="3" t="s">
        <v>18</v>
      </c>
      <c r="E130" s="3" t="s">
        <v>19</v>
      </c>
      <c r="F130" s="4" t="s">
        <v>20</v>
      </c>
      <c r="G130" s="9">
        <v>3</v>
      </c>
      <c r="H130" s="6" t="s">
        <v>22</v>
      </c>
      <c r="I130" s="6" t="s">
        <v>22</v>
      </c>
      <c r="J130" s="3" t="s">
        <v>121</v>
      </c>
      <c r="K130" s="4">
        <v>137.9</v>
      </c>
      <c r="L130" s="7">
        <v>7.8259999999999996</v>
      </c>
      <c r="M130" s="4">
        <v>85.06</v>
      </c>
      <c r="N130" s="7">
        <v>6.2140000000000004</v>
      </c>
      <c r="O130" s="4">
        <v>41.58</v>
      </c>
      <c r="P130" s="7">
        <v>2.5289999999999999</v>
      </c>
      <c r="Q130" s="11">
        <v>2.8010000000000002</v>
      </c>
      <c r="R130" s="4">
        <v>143.9</v>
      </c>
      <c r="S130" s="7">
        <v>11.35</v>
      </c>
      <c r="T130" s="29" t="s">
        <v>162</v>
      </c>
      <c r="U130" s="29" t="s">
        <v>165</v>
      </c>
      <c r="V130" s="29" t="s">
        <v>167</v>
      </c>
    </row>
    <row r="131" spans="1:22" s="55" customFormat="1" x14ac:dyDescent="0.2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8"/>
      <c r="L131" s="19"/>
      <c r="M131" s="18"/>
      <c r="N131" s="19"/>
      <c r="O131" s="18"/>
      <c r="P131" s="19"/>
      <c r="Q131" s="19"/>
      <c r="R131" s="18"/>
      <c r="S131" s="19"/>
      <c r="T131" s="12"/>
      <c r="U131" s="12"/>
      <c r="V131" s="12"/>
    </row>
    <row r="132" spans="1:22" x14ac:dyDescent="0.2">
      <c r="A132" s="2">
        <v>10169</v>
      </c>
      <c r="B132" s="3" t="s">
        <v>123</v>
      </c>
      <c r="C132" s="3" t="s">
        <v>84</v>
      </c>
      <c r="D132" s="3" t="s">
        <v>18</v>
      </c>
      <c r="E132" s="3" t="s">
        <v>19</v>
      </c>
      <c r="F132" s="3" t="s">
        <v>20</v>
      </c>
      <c r="G132" s="5">
        <v>1</v>
      </c>
      <c r="H132" s="10" t="s">
        <v>21</v>
      </c>
      <c r="I132" s="10" t="s">
        <v>21</v>
      </c>
      <c r="J132" s="3" t="s">
        <v>98</v>
      </c>
      <c r="K132" s="4">
        <v>141.9</v>
      </c>
      <c r="L132" s="7">
        <v>7.4210000000000003</v>
      </c>
      <c r="M132" s="4">
        <v>89.27</v>
      </c>
      <c r="N132" s="7">
        <v>6.03</v>
      </c>
      <c r="O132" s="35">
        <v>35.17</v>
      </c>
      <c r="P132" s="11">
        <v>2.9940000000000002</v>
      </c>
      <c r="Q132" s="11">
        <v>3.464</v>
      </c>
      <c r="R132" s="35" t="s">
        <v>137</v>
      </c>
      <c r="S132" s="7">
        <v>11.62</v>
      </c>
      <c r="T132" s="29" t="s">
        <v>157</v>
      </c>
      <c r="U132" s="29" t="s">
        <v>163</v>
      </c>
      <c r="V132" s="29" t="s">
        <v>164</v>
      </c>
    </row>
    <row r="133" spans="1:22" x14ac:dyDescent="0.2">
      <c r="A133" s="2">
        <v>10170</v>
      </c>
      <c r="B133" s="3" t="s">
        <v>123</v>
      </c>
      <c r="C133" s="3" t="s">
        <v>84</v>
      </c>
      <c r="D133" s="3" t="s">
        <v>18</v>
      </c>
      <c r="E133" s="3" t="s">
        <v>19</v>
      </c>
      <c r="F133" s="3" t="s">
        <v>20</v>
      </c>
      <c r="G133" s="8">
        <v>2</v>
      </c>
      <c r="H133" s="6" t="s">
        <v>22</v>
      </c>
      <c r="I133" s="6" t="s">
        <v>22</v>
      </c>
      <c r="J133" s="3" t="s">
        <v>99</v>
      </c>
      <c r="K133" s="4">
        <v>138.80000000000001</v>
      </c>
      <c r="L133" s="7">
        <v>7.968</v>
      </c>
      <c r="M133" s="4">
        <v>83.76</v>
      </c>
      <c r="N133" s="7">
        <v>5.7839999999999998</v>
      </c>
      <c r="O133" s="35">
        <v>42.03</v>
      </c>
      <c r="P133" s="11">
        <v>2.5089999999999999</v>
      </c>
      <c r="Q133" s="11">
        <v>2.7090000000000001</v>
      </c>
      <c r="R133" s="35" t="s">
        <v>137</v>
      </c>
      <c r="S133" s="7">
        <v>11.81</v>
      </c>
      <c r="T133" s="29" t="s">
        <v>158</v>
      </c>
      <c r="U133" s="29" t="s">
        <v>164</v>
      </c>
      <c r="V133" s="29" t="s">
        <v>165</v>
      </c>
    </row>
    <row r="134" spans="1:22" x14ac:dyDescent="0.2">
      <c r="A134" s="2">
        <v>10171</v>
      </c>
      <c r="B134" s="3" t="s">
        <v>123</v>
      </c>
      <c r="C134" s="3" t="s">
        <v>84</v>
      </c>
      <c r="D134" s="3" t="s">
        <v>18</v>
      </c>
      <c r="E134" s="3" t="s">
        <v>19</v>
      </c>
      <c r="F134" s="3" t="s">
        <v>20</v>
      </c>
      <c r="G134" s="9">
        <v>3</v>
      </c>
      <c r="H134" s="6" t="s">
        <v>22</v>
      </c>
      <c r="I134" s="6" t="s">
        <v>22</v>
      </c>
      <c r="J134" s="3" t="s">
        <v>116</v>
      </c>
      <c r="K134" s="4">
        <v>137.6</v>
      </c>
      <c r="L134" s="7">
        <v>7.8170000000000002</v>
      </c>
      <c r="M134" s="4">
        <v>84.22</v>
      </c>
      <c r="N134" s="7">
        <v>6.02</v>
      </c>
      <c r="O134" s="35">
        <v>42.16</v>
      </c>
      <c r="P134" s="11">
        <v>2.3239999999999998</v>
      </c>
      <c r="Q134" s="11">
        <v>2.399</v>
      </c>
      <c r="R134" s="35" t="s">
        <v>137</v>
      </c>
      <c r="S134" s="7">
        <v>10.92</v>
      </c>
      <c r="T134" s="29" t="s">
        <v>162</v>
      </c>
      <c r="U134" s="29" t="s">
        <v>165</v>
      </c>
      <c r="V134" s="29" t="s">
        <v>167</v>
      </c>
    </row>
    <row r="135" spans="1:22" x14ac:dyDescent="0.2">
      <c r="A135" s="2">
        <v>10172</v>
      </c>
      <c r="B135" s="3" t="s">
        <v>123</v>
      </c>
      <c r="C135" s="3" t="s">
        <v>84</v>
      </c>
      <c r="D135" s="3" t="s">
        <v>18</v>
      </c>
      <c r="E135" s="3" t="s">
        <v>19</v>
      </c>
      <c r="F135" s="3" t="s">
        <v>20</v>
      </c>
      <c r="G135" s="9">
        <v>3</v>
      </c>
      <c r="H135" s="10" t="s">
        <v>21</v>
      </c>
      <c r="I135" s="10" t="s">
        <v>21</v>
      </c>
      <c r="J135" s="3" t="s">
        <v>111</v>
      </c>
      <c r="K135" s="4">
        <v>141.80000000000001</v>
      </c>
      <c r="L135" s="7">
        <v>7.351</v>
      </c>
      <c r="M135" s="4">
        <v>89.25</v>
      </c>
      <c r="N135" s="7">
        <v>6.101</v>
      </c>
      <c r="O135" s="35">
        <v>35.369999999999997</v>
      </c>
      <c r="P135" s="11">
        <v>3.218</v>
      </c>
      <c r="Q135" s="11">
        <v>3.7709999999999999</v>
      </c>
      <c r="R135" s="35" t="s">
        <v>137</v>
      </c>
      <c r="S135" s="7">
        <v>11.21</v>
      </c>
      <c r="T135" s="29" t="s">
        <v>159</v>
      </c>
      <c r="U135" s="29" t="s">
        <v>163</v>
      </c>
      <c r="V135" s="29" t="s">
        <v>166</v>
      </c>
    </row>
    <row r="136" spans="1:22" x14ac:dyDescent="0.2">
      <c r="A136" s="2">
        <v>10173</v>
      </c>
      <c r="B136" s="3" t="s">
        <v>123</v>
      </c>
      <c r="C136" s="3" t="s">
        <v>84</v>
      </c>
      <c r="D136" s="3" t="s">
        <v>18</v>
      </c>
      <c r="E136" s="3" t="s">
        <v>19</v>
      </c>
      <c r="F136" s="3" t="s">
        <v>20</v>
      </c>
      <c r="G136" s="8">
        <v>2</v>
      </c>
      <c r="H136" s="10" t="s">
        <v>21</v>
      </c>
      <c r="I136" s="10" t="s">
        <v>21</v>
      </c>
      <c r="J136" s="3" t="s">
        <v>103</v>
      </c>
      <c r="K136" s="4">
        <v>141.1</v>
      </c>
      <c r="L136" s="7">
        <v>7.4139999999999997</v>
      </c>
      <c r="M136" s="4">
        <v>88.14</v>
      </c>
      <c r="N136" s="7">
        <v>5.8040000000000003</v>
      </c>
      <c r="O136" s="35">
        <v>38.369999999999997</v>
      </c>
      <c r="P136" s="11">
        <v>2.4889999999999999</v>
      </c>
      <c r="Q136" s="11">
        <v>2.63</v>
      </c>
      <c r="R136" s="35" t="s">
        <v>137</v>
      </c>
      <c r="S136" s="7">
        <v>11.14</v>
      </c>
      <c r="T136" s="29" t="s">
        <v>160</v>
      </c>
      <c r="U136" s="29" t="s">
        <v>166</v>
      </c>
      <c r="V136" s="29" t="s">
        <v>164</v>
      </c>
    </row>
    <row r="137" spans="1:22" x14ac:dyDescent="0.2">
      <c r="A137" s="2">
        <v>10174</v>
      </c>
      <c r="B137" s="3" t="s">
        <v>123</v>
      </c>
      <c r="C137" s="3" t="s">
        <v>84</v>
      </c>
      <c r="D137" s="3" t="s">
        <v>18</v>
      </c>
      <c r="E137" s="3" t="s">
        <v>19</v>
      </c>
      <c r="F137" s="3" t="s">
        <v>20</v>
      </c>
      <c r="G137" s="5">
        <v>1</v>
      </c>
      <c r="H137" s="6" t="s">
        <v>22</v>
      </c>
      <c r="I137" s="6" t="s">
        <v>22</v>
      </c>
      <c r="J137" s="3" t="s">
        <v>104</v>
      </c>
      <c r="K137" s="4">
        <v>137.9</v>
      </c>
      <c r="L137" s="7">
        <v>7.8449999999999998</v>
      </c>
      <c r="M137" s="4">
        <v>83.71</v>
      </c>
      <c r="N137" s="7">
        <v>5.944</v>
      </c>
      <c r="O137" s="35" t="s">
        <v>137</v>
      </c>
      <c r="P137" s="11" t="s">
        <v>137</v>
      </c>
      <c r="Q137" s="11" t="s">
        <v>137</v>
      </c>
      <c r="R137" s="35" t="s">
        <v>137</v>
      </c>
      <c r="S137" s="7">
        <v>11.62</v>
      </c>
      <c r="T137" s="29" t="s">
        <v>161</v>
      </c>
      <c r="U137" s="29" t="s">
        <v>164</v>
      </c>
      <c r="V137" s="29" t="s">
        <v>167</v>
      </c>
    </row>
    <row r="138" spans="1:22" x14ac:dyDescent="0.2">
      <c r="A138" s="2">
        <v>10175</v>
      </c>
      <c r="B138" s="3" t="s">
        <v>123</v>
      </c>
      <c r="C138" s="3" t="s">
        <v>84</v>
      </c>
      <c r="D138" s="3" t="s">
        <v>18</v>
      </c>
      <c r="E138" s="3" t="s">
        <v>19</v>
      </c>
      <c r="F138" s="3" t="s">
        <v>20</v>
      </c>
      <c r="G138" s="5">
        <v>1</v>
      </c>
      <c r="H138" s="10" t="s">
        <v>21</v>
      </c>
      <c r="I138" s="10" t="s">
        <v>21</v>
      </c>
      <c r="J138" s="3" t="s">
        <v>107</v>
      </c>
      <c r="K138" s="35" t="s">
        <v>137</v>
      </c>
      <c r="L138" s="11">
        <v>7.13</v>
      </c>
      <c r="M138" s="4">
        <v>89.08</v>
      </c>
      <c r="N138" s="7">
        <v>5.968</v>
      </c>
      <c r="O138" s="35">
        <v>35.89</v>
      </c>
      <c r="P138" s="11">
        <v>2.988</v>
      </c>
      <c r="Q138" s="11">
        <v>3.4420000000000002</v>
      </c>
      <c r="R138" s="35" t="s">
        <v>137</v>
      </c>
      <c r="S138" s="7">
        <v>11.21</v>
      </c>
      <c r="T138" s="29" t="s">
        <v>157</v>
      </c>
      <c r="U138" s="29" t="s">
        <v>163</v>
      </c>
      <c r="V138" s="29" t="s">
        <v>164</v>
      </c>
    </row>
    <row r="139" spans="1:22" x14ac:dyDescent="0.2">
      <c r="A139" s="2">
        <v>10176</v>
      </c>
      <c r="B139" s="3" t="s">
        <v>123</v>
      </c>
      <c r="C139" s="3" t="s">
        <v>84</v>
      </c>
      <c r="D139" s="3" t="s">
        <v>18</v>
      </c>
      <c r="E139" s="3" t="s">
        <v>19</v>
      </c>
      <c r="F139" s="3" t="s">
        <v>20</v>
      </c>
      <c r="G139" s="8">
        <v>2</v>
      </c>
      <c r="H139" s="6" t="s">
        <v>22</v>
      </c>
      <c r="I139" s="6" t="s">
        <v>22</v>
      </c>
      <c r="J139" s="3" t="s">
        <v>108</v>
      </c>
      <c r="K139" s="4">
        <v>137.5</v>
      </c>
      <c r="L139" s="7">
        <v>7.7039999999999997</v>
      </c>
      <c r="M139" s="4">
        <v>84.05</v>
      </c>
      <c r="N139" s="7">
        <v>5.9020000000000001</v>
      </c>
      <c r="O139" s="35">
        <v>42.78</v>
      </c>
      <c r="P139" s="11">
        <v>2.4329999999999998</v>
      </c>
      <c r="Q139" s="11">
        <v>2.746</v>
      </c>
      <c r="R139" s="35" t="s">
        <v>137</v>
      </c>
      <c r="S139" s="7">
        <v>11.52</v>
      </c>
      <c r="T139" s="29" t="s">
        <v>158</v>
      </c>
      <c r="U139" s="29" t="s">
        <v>164</v>
      </c>
      <c r="V139" s="29" t="s">
        <v>165</v>
      </c>
    </row>
    <row r="140" spans="1:22" x14ac:dyDescent="0.2">
      <c r="A140" s="2">
        <v>10177</v>
      </c>
      <c r="B140" s="3" t="s">
        <v>123</v>
      </c>
      <c r="C140" s="3" t="s">
        <v>84</v>
      </c>
      <c r="D140" s="3" t="s">
        <v>18</v>
      </c>
      <c r="E140" s="3" t="s">
        <v>19</v>
      </c>
      <c r="F140" s="3" t="s">
        <v>20</v>
      </c>
      <c r="G140" s="9">
        <v>3</v>
      </c>
      <c r="H140" s="6" t="s">
        <v>22</v>
      </c>
      <c r="I140" s="6" t="s">
        <v>22</v>
      </c>
      <c r="J140" s="3" t="s">
        <v>113</v>
      </c>
      <c r="K140" s="4">
        <v>138.30000000000001</v>
      </c>
      <c r="L140" s="7">
        <v>7.6849999999999996</v>
      </c>
      <c r="M140" s="4">
        <v>84.89</v>
      </c>
      <c r="N140" s="7">
        <v>6.2670000000000003</v>
      </c>
      <c r="O140" s="35">
        <v>43.58</v>
      </c>
      <c r="P140" s="11">
        <v>2.5750000000000002</v>
      </c>
      <c r="Q140" s="11">
        <v>2.6389999999999998</v>
      </c>
      <c r="R140" s="35" t="s">
        <v>137</v>
      </c>
      <c r="S140" s="7">
        <v>10.63</v>
      </c>
      <c r="T140" s="29" t="s">
        <v>162</v>
      </c>
      <c r="U140" s="29" t="s">
        <v>165</v>
      </c>
      <c r="V140" s="29" t="s">
        <v>167</v>
      </c>
    </row>
    <row r="141" spans="1:22" s="20" customFormat="1" x14ac:dyDescent="0.2">
      <c r="A141" s="2">
        <v>10178</v>
      </c>
      <c r="B141" s="3" t="s">
        <v>123</v>
      </c>
      <c r="C141" s="3" t="s">
        <v>84</v>
      </c>
      <c r="D141" s="3" t="s">
        <v>18</v>
      </c>
      <c r="E141" s="3" t="s">
        <v>19</v>
      </c>
      <c r="F141" s="3" t="s">
        <v>20</v>
      </c>
      <c r="G141" s="5">
        <v>1</v>
      </c>
      <c r="H141" s="10" t="s">
        <v>21</v>
      </c>
      <c r="I141" s="10" t="s">
        <v>21</v>
      </c>
      <c r="J141" s="3" t="s">
        <v>120</v>
      </c>
      <c r="K141" s="4">
        <v>141.30000000000001</v>
      </c>
      <c r="L141" s="7">
        <v>7.133</v>
      </c>
      <c r="M141" s="4">
        <v>89.15</v>
      </c>
      <c r="N141" s="7">
        <v>5.9240000000000004</v>
      </c>
      <c r="O141" s="35">
        <v>34.86</v>
      </c>
      <c r="P141" s="11">
        <v>2.9620000000000002</v>
      </c>
      <c r="Q141" s="11">
        <v>3.2410000000000001</v>
      </c>
      <c r="R141" s="35" t="s">
        <v>137</v>
      </c>
      <c r="S141" s="7">
        <v>11.65</v>
      </c>
      <c r="T141" s="29" t="s">
        <v>157</v>
      </c>
      <c r="U141" s="29" t="s">
        <v>163</v>
      </c>
      <c r="V141" s="29" t="s">
        <v>164</v>
      </c>
    </row>
    <row r="142" spans="1:22" s="20" customFormat="1" x14ac:dyDescent="0.2">
      <c r="A142" s="2">
        <v>10179</v>
      </c>
      <c r="B142" s="3" t="s">
        <v>123</v>
      </c>
      <c r="C142" s="3" t="s">
        <v>84</v>
      </c>
      <c r="D142" s="3" t="s">
        <v>18</v>
      </c>
      <c r="E142" s="3" t="s">
        <v>19</v>
      </c>
      <c r="F142" s="3" t="s">
        <v>20</v>
      </c>
      <c r="G142" s="8">
        <v>2</v>
      </c>
      <c r="H142" s="6" t="s">
        <v>22</v>
      </c>
      <c r="I142" s="6" t="s">
        <v>22</v>
      </c>
      <c r="J142" s="3" t="s">
        <v>121</v>
      </c>
      <c r="K142" s="4">
        <v>138.4</v>
      </c>
      <c r="L142" s="7">
        <v>7.9669999999999996</v>
      </c>
      <c r="M142" s="4">
        <v>83.42</v>
      </c>
      <c r="N142" s="7">
        <v>5.82</v>
      </c>
      <c r="O142" s="35">
        <v>42.19</v>
      </c>
      <c r="P142" s="11">
        <v>2.6179999999999999</v>
      </c>
      <c r="Q142" s="11">
        <v>2.6949999999999998</v>
      </c>
      <c r="R142" s="35" t="s">
        <v>137</v>
      </c>
      <c r="S142" s="7">
        <v>11.44</v>
      </c>
      <c r="T142" s="29" t="s">
        <v>158</v>
      </c>
      <c r="U142" s="29" t="s">
        <v>164</v>
      </c>
      <c r="V142" s="29" t="s">
        <v>165</v>
      </c>
    </row>
    <row r="143" spans="1:22" s="20" customFormat="1" x14ac:dyDescent="0.2">
      <c r="A143" s="2">
        <v>10180</v>
      </c>
      <c r="B143" s="3" t="s">
        <v>123</v>
      </c>
      <c r="C143" s="3" t="s">
        <v>84</v>
      </c>
      <c r="D143" s="3" t="s">
        <v>18</v>
      </c>
      <c r="E143" s="3" t="s">
        <v>19</v>
      </c>
      <c r="F143" s="3" t="s">
        <v>20</v>
      </c>
      <c r="G143" s="9">
        <v>3</v>
      </c>
      <c r="H143" s="6" t="s">
        <v>22</v>
      </c>
      <c r="I143" s="6" t="s">
        <v>22</v>
      </c>
      <c r="J143" s="3" t="s">
        <v>124</v>
      </c>
      <c r="K143" s="4">
        <v>137.80000000000001</v>
      </c>
      <c r="L143" s="7">
        <v>7.806</v>
      </c>
      <c r="M143" s="4">
        <v>85.07</v>
      </c>
      <c r="N143" s="7">
        <v>6.2080000000000002</v>
      </c>
      <c r="O143" s="35">
        <v>41.55</v>
      </c>
      <c r="P143" s="11">
        <v>2.5259999999999998</v>
      </c>
      <c r="Q143" s="11">
        <v>2.8</v>
      </c>
      <c r="R143" s="35" t="s">
        <v>137</v>
      </c>
      <c r="S143" s="7">
        <v>11.33</v>
      </c>
      <c r="T143" s="29" t="s">
        <v>162</v>
      </c>
      <c r="U143" s="29" t="s">
        <v>165</v>
      </c>
      <c r="V143" s="29" t="s">
        <v>167</v>
      </c>
    </row>
    <row r="145" spans="6:6" x14ac:dyDescent="0.2">
      <c r="F145" s="56">
        <v>11</v>
      </c>
    </row>
  </sheetData>
  <pageMargins left="0.7" right="0.7" top="0.75" bottom="0.75" header="0.51180555555555496" footer="0.51180555555555496"/>
  <pageSetup paperSize="9" firstPageNumber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parallel 12to0</vt:lpstr>
      <vt:lpstr>hybrid 7to5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This Pc</dc:creator>
  <dc:description/>
  <cp:lastModifiedBy>Bharathwaj Sathyamoorthy</cp:lastModifiedBy>
  <cp:revision>1</cp:revision>
  <dcterms:created xsi:type="dcterms:W3CDTF">2020-04-26T16:09:16Z</dcterms:created>
  <dcterms:modified xsi:type="dcterms:W3CDTF">2020-06-12T15:33:49Z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